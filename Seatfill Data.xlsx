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BCED24CE-CC91-41F0-A97C-0C4B1DAA5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delines" sheetId="5" r:id="rId1"/>
    <sheet name="Employee Data 1" sheetId="1" r:id="rId2"/>
    <sheet name="Employee Data 2" sheetId="2" r:id="rId3"/>
    <sheet name="Seatfill Target Headcount" sheetId="4" r:id="rId4"/>
    <sheet name="_Lists" sheetId="3" state="hidden" r:id="rId5"/>
  </sheets>
  <definedNames>
    <definedName name="BranchList">_Lists!$A$2:$A$7</definedName>
    <definedName name="CCMList">_Lists!$E$2:$E$4</definedName>
    <definedName name="ClusterList">_Lists!$C$2:$C$6</definedName>
    <definedName name="GenderList">_Lists!$D$2:$D$4</definedName>
    <definedName name="GradeList">_Lists!$B$2:$B$8</definedName>
    <definedName name="RoleList">_Lists!$G$2:$G$13</definedName>
    <definedName name="SourceList">_Lists!$F$2:$F$7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I7" i="4"/>
  <c r="I6" i="4"/>
  <c r="I5" i="4"/>
  <c r="I4" i="4"/>
  <c r="I3" i="4"/>
  <c r="I2" i="4"/>
  <c r="R51" i="2"/>
  <c r="Q51" i="2"/>
  <c r="P51" i="2"/>
  <c r="R50" i="2"/>
  <c r="Q50" i="2"/>
  <c r="P50" i="2"/>
  <c r="R49" i="2"/>
  <c r="Q49" i="2"/>
  <c r="P49" i="2"/>
  <c r="R48" i="2"/>
  <c r="Q48" i="2"/>
  <c r="P48" i="2"/>
  <c r="R47" i="2"/>
  <c r="Q47" i="2"/>
  <c r="P47" i="2"/>
  <c r="R46" i="2"/>
  <c r="Q46" i="2"/>
  <c r="P46" i="2"/>
  <c r="R45" i="2"/>
  <c r="Q45" i="2"/>
  <c r="P45" i="2"/>
  <c r="R44" i="2"/>
  <c r="Q44" i="2"/>
  <c r="P44" i="2"/>
  <c r="R43" i="2"/>
  <c r="Q43" i="2"/>
  <c r="P43" i="2"/>
  <c r="R42" i="2"/>
  <c r="Q42" i="2"/>
  <c r="P42" i="2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R3" i="2"/>
  <c r="Q3" i="2"/>
  <c r="P3" i="2"/>
  <c r="R2" i="2"/>
  <c r="Q2" i="2"/>
  <c r="P2" i="2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<sst xmlns="http://schemas.openxmlformats.org/spreadsheetml/2006/main" count="1399" uniqueCount="411">
  <si>
    <t>Seatfill % = (Number of employees)/(Appropriate Seatfill Target Headcount)*100</t>
  </si>
  <si>
    <t xml:space="preserve">1ABC means those employees who are in grades 1A,1B or 1C </t>
  </si>
  <si>
    <t>1D+ means those employees who are not in grades 1A,1B,1C</t>
  </si>
  <si>
    <t>GT means those employees for whom Branch/Team is North,South,Central,East or West</t>
  </si>
  <si>
    <t>Non-GT means those employees for whom Branch/Team is Non-GT</t>
  </si>
  <si>
    <t>Branch/Team</t>
  </si>
  <si>
    <t>Employee Id</t>
  </si>
  <si>
    <t>Employee Name</t>
  </si>
  <si>
    <t>Gender</t>
  </si>
  <si>
    <t>Role</t>
  </si>
  <si>
    <t>Salary Grade</t>
  </si>
  <si>
    <t>Cluster</t>
  </si>
  <si>
    <t>LM Employee ID</t>
  </si>
  <si>
    <t>LM Name</t>
  </si>
  <si>
    <t>Current Headquarter</t>
  </si>
  <si>
    <t>Position Id</t>
  </si>
  <si>
    <t>CCM/CCH/GM</t>
  </si>
  <si>
    <t>Date of Birth</t>
  </si>
  <si>
    <t>Date of Joining</t>
  </si>
  <si>
    <t>Grade Entry Date</t>
  </si>
  <si>
    <t>Age</t>
  </si>
  <si>
    <t>Length Of Service (yrs)</t>
  </si>
  <si>
    <t>Grade Res. Time (yrs)</t>
  </si>
  <si>
    <t>Source of hire</t>
  </si>
  <si>
    <t>Non-GT</t>
  </si>
  <si>
    <t>E10001</t>
  </si>
  <si>
    <t>Kabir Gupta</t>
  </si>
  <si>
    <t>Male</t>
  </si>
  <si>
    <t>Payroll Specialist</t>
  </si>
  <si>
    <t>1A</t>
  </si>
  <si>
    <t>UP</t>
  </si>
  <si>
    <t>LM1003</t>
  </si>
  <si>
    <t>Nikhil Bhattarai</t>
  </si>
  <si>
    <t>Noida</t>
  </si>
  <si>
    <t>P710001</t>
  </si>
  <si>
    <t>CCH</t>
  </si>
  <si>
    <t>Internal Movement</t>
  </si>
  <si>
    <t>North</t>
  </si>
  <si>
    <t>E10002</t>
  </si>
  <si>
    <t>Ayush Thapa</t>
  </si>
  <si>
    <t>Capability Executive</t>
  </si>
  <si>
    <t>1B</t>
  </si>
  <si>
    <t>LM1000</t>
  </si>
  <si>
    <t>Rohan Gupta</t>
  </si>
  <si>
    <t>Meerut</t>
  </si>
  <si>
    <t>P710002</t>
  </si>
  <si>
    <t>GM</t>
  </si>
  <si>
    <t>External Hire</t>
  </si>
  <si>
    <t>E10003</t>
  </si>
  <si>
    <t>Saru Das</t>
  </si>
  <si>
    <t>Female</t>
  </si>
  <si>
    <t>BHR</t>
  </si>
  <si>
    <t>LM1002</t>
  </si>
  <si>
    <t>Sonit Buddhacharya</t>
  </si>
  <si>
    <t>Bhagalpur</t>
  </si>
  <si>
    <t>P710003</t>
  </si>
  <si>
    <t>Employee Referral</t>
  </si>
  <si>
    <t>East</t>
  </si>
  <si>
    <t>E10004</t>
  </si>
  <si>
    <t>Shreeya Singh</t>
  </si>
  <si>
    <t>Commercial Executive</t>
  </si>
  <si>
    <t>LM1006</t>
  </si>
  <si>
    <t>Ayush Sharma</t>
  </si>
  <si>
    <t>Lucknow</t>
  </si>
  <si>
    <t>P710004</t>
  </si>
  <si>
    <t>CCM</t>
  </si>
  <si>
    <t>Agency Hire</t>
  </si>
  <si>
    <t>South</t>
  </si>
  <si>
    <t>E10005</t>
  </si>
  <si>
    <t>Karan Gupta</t>
  </si>
  <si>
    <t>Other</t>
  </si>
  <si>
    <t>Customer Development Officer</t>
  </si>
  <si>
    <t>1C</t>
  </si>
  <si>
    <t>WB</t>
  </si>
  <si>
    <t>LM1001</t>
  </si>
  <si>
    <t>Reshma Maharjan</t>
  </si>
  <si>
    <t>Durgapur</t>
  </si>
  <si>
    <t>P710005</t>
  </si>
  <si>
    <t>E10006</t>
  </si>
  <si>
    <t>Ira Rai</t>
  </si>
  <si>
    <t>Supply Chain Coordinator</t>
  </si>
  <si>
    <t>3Y</t>
  </si>
  <si>
    <t>Saru Maharjan</t>
  </si>
  <si>
    <t>P710006</t>
  </si>
  <si>
    <t>E10007</t>
  </si>
  <si>
    <t>Aarav KC</t>
  </si>
  <si>
    <t>LM1005</t>
  </si>
  <si>
    <t>Reshma Shrestha</t>
  </si>
  <si>
    <t>Varanasi</t>
  </si>
  <si>
    <t>P710007</t>
  </si>
  <si>
    <t>West</t>
  </si>
  <si>
    <t>E10008</t>
  </si>
  <si>
    <t>Sneha Verma</t>
  </si>
  <si>
    <t>TN</t>
  </si>
  <si>
    <t>Madurai</t>
  </si>
  <si>
    <t>P710008</t>
  </si>
  <si>
    <t>E10009</t>
  </si>
  <si>
    <t>Arjun Kumar</t>
  </si>
  <si>
    <t>Territory Sales Officer</t>
  </si>
  <si>
    <t>MAH</t>
  </si>
  <si>
    <t>LM1008</t>
  </si>
  <si>
    <t>Nabina Karmacharya</t>
  </si>
  <si>
    <t>Pune</t>
  </si>
  <si>
    <t>P710009</t>
  </si>
  <si>
    <t>Campus Hire</t>
  </si>
  <si>
    <t>Central</t>
  </si>
  <si>
    <t>E10010</t>
  </si>
  <si>
    <t>Pawan Verma</t>
  </si>
  <si>
    <t>Area Sales Executive</t>
  </si>
  <si>
    <t>P710010</t>
  </si>
  <si>
    <t>E10011</t>
  </si>
  <si>
    <t>Ishan Kumar</t>
  </si>
  <si>
    <t>LM1007</t>
  </si>
  <si>
    <t>Priya Shrestha</t>
  </si>
  <si>
    <t>P710011</t>
  </si>
  <si>
    <t>E10012</t>
  </si>
  <si>
    <t>Siddharth Kumar</t>
  </si>
  <si>
    <t>HR Executive</t>
  </si>
  <si>
    <t>Patna</t>
  </si>
  <si>
    <t>P710012</t>
  </si>
  <si>
    <t>E10013</t>
  </si>
  <si>
    <t>Pawan Singh</t>
  </si>
  <si>
    <t>P710013</t>
  </si>
  <si>
    <t>IJP</t>
  </si>
  <si>
    <t>E10014</t>
  </si>
  <si>
    <t>Nabina Gupta</t>
  </si>
  <si>
    <t>2D</t>
  </si>
  <si>
    <t>Nashik</t>
  </si>
  <si>
    <t>P710014</t>
  </si>
  <si>
    <t>E10015</t>
  </si>
  <si>
    <t>Pawan Rai</t>
  </si>
  <si>
    <t>Finance Executive</t>
  </si>
  <si>
    <t>P710015</t>
  </si>
  <si>
    <t>E10016</t>
  </si>
  <si>
    <t>Arjun Das</t>
  </si>
  <si>
    <t>Howrah</t>
  </si>
  <si>
    <t>P710016</t>
  </si>
  <si>
    <t>E10017</t>
  </si>
  <si>
    <t>Rahul Yadav</t>
  </si>
  <si>
    <t>P710017</t>
  </si>
  <si>
    <t>E10018</t>
  </si>
  <si>
    <t>Diya Gupta</t>
  </si>
  <si>
    <t>P710018</t>
  </si>
  <si>
    <t>E10019</t>
  </si>
  <si>
    <t>Pooja Rai</t>
  </si>
  <si>
    <t>Coimbatore</t>
  </si>
  <si>
    <t>P710019</t>
  </si>
  <si>
    <t>E10020</t>
  </si>
  <si>
    <t>Ishan Karmacharya</t>
  </si>
  <si>
    <t>Key Account Executive</t>
  </si>
  <si>
    <t>4F</t>
  </si>
  <si>
    <t>Trichy</t>
  </si>
  <si>
    <t>P710020</t>
  </si>
  <si>
    <t>E10021</t>
  </si>
  <si>
    <t>Reshma Kumar</t>
  </si>
  <si>
    <t>Mumbai</t>
  </si>
  <si>
    <t>P710021</t>
  </si>
  <si>
    <t>E10022</t>
  </si>
  <si>
    <t>Shreeya Karmacharya</t>
  </si>
  <si>
    <t>P710022</t>
  </si>
  <si>
    <t>E10023</t>
  </si>
  <si>
    <t>Manish Thapa</t>
  </si>
  <si>
    <t>1D</t>
  </si>
  <si>
    <t>Salem</t>
  </si>
  <si>
    <t>P710023</t>
  </si>
  <si>
    <t>E10024</t>
  </si>
  <si>
    <t>Nikhil Mishra</t>
  </si>
  <si>
    <t>Kolkata</t>
  </si>
  <si>
    <t>P710024</t>
  </si>
  <si>
    <t>E10025</t>
  </si>
  <si>
    <t>Vihaan Rai</t>
  </si>
  <si>
    <t>Nagpur</t>
  </si>
  <si>
    <t>P710025</t>
  </si>
  <si>
    <t>E10026</t>
  </si>
  <si>
    <t>Priya KC</t>
  </si>
  <si>
    <t>P710026</t>
  </si>
  <si>
    <t>E10027</t>
  </si>
  <si>
    <t>Ira Das</t>
  </si>
  <si>
    <t>Sales Supervisor</t>
  </si>
  <si>
    <t>LM1004</t>
  </si>
  <si>
    <t>Ishan KC</t>
  </si>
  <si>
    <t>P710027</t>
  </si>
  <si>
    <t>E10028</t>
  </si>
  <si>
    <t>Ishan Bhattarai</t>
  </si>
  <si>
    <t>Kanpur</t>
  </si>
  <si>
    <t>P710028</t>
  </si>
  <si>
    <t>E10029</t>
  </si>
  <si>
    <t>Diya Singh</t>
  </si>
  <si>
    <t>P710029</t>
  </si>
  <si>
    <t>E10030</t>
  </si>
  <si>
    <t>Manish KC</t>
  </si>
  <si>
    <t>P710030</t>
  </si>
  <si>
    <t>E10031</t>
  </si>
  <si>
    <t>Kavya Bhattarai</t>
  </si>
  <si>
    <t>Gaya</t>
  </si>
  <si>
    <t>P710031</t>
  </si>
  <si>
    <t>E10032</t>
  </si>
  <si>
    <t>Nikhil Singh</t>
  </si>
  <si>
    <t>P710032</t>
  </si>
  <si>
    <t>E10033</t>
  </si>
  <si>
    <t>Kabir Bhattarai</t>
  </si>
  <si>
    <t>Darbhanga</t>
  </si>
  <si>
    <t>P710033</t>
  </si>
  <si>
    <t>E10034</t>
  </si>
  <si>
    <t>Kabir Sharma</t>
  </si>
  <si>
    <t>Asansol</t>
  </si>
  <si>
    <t>P710034</t>
  </si>
  <si>
    <t>Nikhil Yadav</t>
  </si>
  <si>
    <t>Muzaffarpur</t>
  </si>
  <si>
    <t>P710035</t>
  </si>
  <si>
    <t>E10036</t>
  </si>
  <si>
    <t>Sneha Bhattarai</t>
  </si>
  <si>
    <t>P710036</t>
  </si>
  <si>
    <t>E10037</t>
  </si>
  <si>
    <t>P710037</t>
  </si>
  <si>
    <t>P710038</t>
  </si>
  <si>
    <t>E10039</t>
  </si>
  <si>
    <t>Priya Mishra</t>
  </si>
  <si>
    <t>P710039</t>
  </si>
  <si>
    <t>E10040</t>
  </si>
  <si>
    <t>Manish Shrestha</t>
  </si>
  <si>
    <t>LM1009</t>
  </si>
  <si>
    <t>Shreeya Shrestha</t>
  </si>
  <si>
    <t>P710040</t>
  </si>
  <si>
    <t>Neha Rai</t>
  </si>
  <si>
    <t>P710041</t>
  </si>
  <si>
    <t>E10042</t>
  </si>
  <si>
    <t>Siddharth Karmacharya</t>
  </si>
  <si>
    <t>P710042</t>
  </si>
  <si>
    <t>E10043</t>
  </si>
  <si>
    <t>Shreeya Verma</t>
  </si>
  <si>
    <t>P710043</t>
  </si>
  <si>
    <t>E10044</t>
  </si>
  <si>
    <t>Arjun Yadav</t>
  </si>
  <si>
    <t>Distributor Manager</t>
  </si>
  <si>
    <t>P710044</t>
  </si>
  <si>
    <t>E10045</t>
  </si>
  <si>
    <t>Siddharth Thapa</t>
  </si>
  <si>
    <t>P710045</t>
  </si>
  <si>
    <t>E10046</t>
  </si>
  <si>
    <t>Asha Gupta</t>
  </si>
  <si>
    <t>P710046</t>
  </si>
  <si>
    <t>E10047</t>
  </si>
  <si>
    <t>Asha Kumar</t>
  </si>
  <si>
    <t>P710047</t>
  </si>
  <si>
    <t>E10048</t>
  </si>
  <si>
    <t>Kabir Yadav</t>
  </si>
  <si>
    <t>P710048</t>
  </si>
  <si>
    <t>E10049</t>
  </si>
  <si>
    <t>Ananya Mishra</t>
  </si>
  <si>
    <t>P710049</t>
  </si>
  <si>
    <t>E10050</t>
  </si>
  <si>
    <t>Vihaan Thapa</t>
  </si>
  <si>
    <t>P710050</t>
  </si>
  <si>
    <t>E20001</t>
  </si>
  <si>
    <t>P720001</t>
  </si>
  <si>
    <t>E20002</t>
  </si>
  <si>
    <t>Siddharth Das</t>
  </si>
  <si>
    <t>P720002</t>
  </si>
  <si>
    <t>E20003</t>
  </si>
  <si>
    <t>Saru Sharma</t>
  </si>
  <si>
    <t>P720003</t>
  </si>
  <si>
    <t>E20004</t>
  </si>
  <si>
    <t>Sneha Das</t>
  </si>
  <si>
    <t>P720004</t>
  </si>
  <si>
    <t>E20005</t>
  </si>
  <si>
    <t>Kavya KC</t>
  </si>
  <si>
    <t>P720005</t>
  </si>
  <si>
    <t>E20006</t>
  </si>
  <si>
    <t>Chennai</t>
  </si>
  <si>
    <t>P720006</t>
  </si>
  <si>
    <t>Reshma Rai</t>
  </si>
  <si>
    <t>P720007</t>
  </si>
  <si>
    <t>E20008</t>
  </si>
  <si>
    <t>Meera Shrestha</t>
  </si>
  <si>
    <t>P720008</t>
  </si>
  <si>
    <t>E20009</t>
  </si>
  <si>
    <t>P720009</t>
  </si>
  <si>
    <t>E20010</t>
  </si>
  <si>
    <t>Ritika Rai</t>
  </si>
  <si>
    <t>P720010</t>
  </si>
  <si>
    <t>E20011</t>
  </si>
  <si>
    <t>Aarav Sharma</t>
  </si>
  <si>
    <t>P720011</t>
  </si>
  <si>
    <t>E20012</t>
  </si>
  <si>
    <t>Aditya Sharma</t>
  </si>
  <si>
    <t>P720012</t>
  </si>
  <si>
    <t>E20013</t>
  </si>
  <si>
    <t>P720013</t>
  </si>
  <si>
    <t>E20014</t>
  </si>
  <si>
    <t>Aakash Das</t>
  </si>
  <si>
    <t>P720014</t>
  </si>
  <si>
    <t>E20015</t>
  </si>
  <si>
    <t>Ira Gupta</t>
  </si>
  <si>
    <t>P720015</t>
  </si>
  <si>
    <t>E20016</t>
  </si>
  <si>
    <t>Kabir Maharjan</t>
  </si>
  <si>
    <t>P720016</t>
  </si>
  <si>
    <t>E20017</t>
  </si>
  <si>
    <t>Asha Das</t>
  </si>
  <si>
    <t>P720017</t>
  </si>
  <si>
    <t>E20018</t>
  </si>
  <si>
    <t>Neha Yadav</t>
  </si>
  <si>
    <t>P720018</t>
  </si>
  <si>
    <t>E20019</t>
  </si>
  <si>
    <t>Vihaan Gupta</t>
  </si>
  <si>
    <t>P720019</t>
  </si>
  <si>
    <t>E20020</t>
  </si>
  <si>
    <t>Ira Thapa</t>
  </si>
  <si>
    <t>P720020</t>
  </si>
  <si>
    <t>Nikhil Verma</t>
  </si>
  <si>
    <t>P720021</t>
  </si>
  <si>
    <t>E20022</t>
  </si>
  <si>
    <t>Ananya Shrestha</t>
  </si>
  <si>
    <t>Aurangabad</t>
  </si>
  <si>
    <t>P720022</t>
  </si>
  <si>
    <t>E20023</t>
  </si>
  <si>
    <t>Ayush Kumar</t>
  </si>
  <si>
    <t>P720023</t>
  </si>
  <si>
    <t>E20024</t>
  </si>
  <si>
    <t>Ishan Singh</t>
  </si>
  <si>
    <t>P720024</t>
  </si>
  <si>
    <t>E20025</t>
  </si>
  <si>
    <t>Reshma Gupta</t>
  </si>
  <si>
    <t>P720025</t>
  </si>
  <si>
    <t>E20026</t>
  </si>
  <si>
    <t>Shreeya Das</t>
  </si>
  <si>
    <t>P720026</t>
  </si>
  <si>
    <t>E20027</t>
  </si>
  <si>
    <t>Ayush KC</t>
  </si>
  <si>
    <t>P720027</t>
  </si>
  <si>
    <t>E20028</t>
  </si>
  <si>
    <t>Aakash Maharjan</t>
  </si>
  <si>
    <t>P720028</t>
  </si>
  <si>
    <t>E20029</t>
  </si>
  <si>
    <t>Vihaan Bhattarai</t>
  </si>
  <si>
    <t>P720029</t>
  </si>
  <si>
    <t>E20030</t>
  </si>
  <si>
    <t>Meera Mishra</t>
  </si>
  <si>
    <t>P720030</t>
  </si>
  <si>
    <t>E20031</t>
  </si>
  <si>
    <t>Ananya Thapa</t>
  </si>
  <si>
    <t>P720031</t>
  </si>
  <si>
    <t>E20032</t>
  </si>
  <si>
    <t>Nikhil Das</t>
  </si>
  <si>
    <t>P720032</t>
  </si>
  <si>
    <t>E20033</t>
  </si>
  <si>
    <t>Rahul KC</t>
  </si>
  <si>
    <t>P720033</t>
  </si>
  <si>
    <t>E20034</t>
  </si>
  <si>
    <t>Kabir Verma</t>
  </si>
  <si>
    <t>P720034</t>
  </si>
  <si>
    <t>E20035</t>
  </si>
  <si>
    <t>Reshma Bhattarai</t>
  </si>
  <si>
    <t>P720035</t>
  </si>
  <si>
    <t>E20036</t>
  </si>
  <si>
    <t>P720036</t>
  </si>
  <si>
    <t>E20037</t>
  </si>
  <si>
    <t>Arjun Thapa</t>
  </si>
  <si>
    <t>P720037</t>
  </si>
  <si>
    <t>E20038</t>
  </si>
  <si>
    <t>Diya Karmacharya</t>
  </si>
  <si>
    <t>P720038</t>
  </si>
  <si>
    <t>E20039</t>
  </si>
  <si>
    <t>Meera Karmacharya</t>
  </si>
  <si>
    <t>Siliguri</t>
  </si>
  <si>
    <t>P720039</t>
  </si>
  <si>
    <t>E20040</t>
  </si>
  <si>
    <t>Siddharth Rai</t>
  </si>
  <si>
    <t>P720040</t>
  </si>
  <si>
    <t>E20041</t>
  </si>
  <si>
    <t>Pooja Shrestha</t>
  </si>
  <si>
    <t>P720041</t>
  </si>
  <si>
    <t>E20042</t>
  </si>
  <si>
    <t>Reshma Karmacharya</t>
  </si>
  <si>
    <t>P720042</t>
  </si>
  <si>
    <t>E20043</t>
  </si>
  <si>
    <t>Aakash Mishra</t>
  </si>
  <si>
    <t>P720043</t>
  </si>
  <si>
    <t>E20044</t>
  </si>
  <si>
    <t>P720044</t>
  </si>
  <si>
    <t>E20045</t>
  </si>
  <si>
    <t>Arjun Singh</t>
  </si>
  <si>
    <t>P720045</t>
  </si>
  <si>
    <t>E20046</t>
  </si>
  <si>
    <t>P720046</t>
  </si>
  <si>
    <t>E20047</t>
  </si>
  <si>
    <t>Aditya Kumar</t>
  </si>
  <si>
    <t>P720047</t>
  </si>
  <si>
    <t>E20048</t>
  </si>
  <si>
    <t>P720048</t>
  </si>
  <si>
    <t>E20049</t>
  </si>
  <si>
    <t>Priya Sharma</t>
  </si>
  <si>
    <t>P720049</t>
  </si>
  <si>
    <t>E20050</t>
  </si>
  <si>
    <t>Reshma Singh</t>
  </si>
  <si>
    <t>P720050</t>
  </si>
  <si>
    <t>Total</t>
  </si>
  <si>
    <t>BranchList</t>
  </si>
  <si>
    <t>GradeList</t>
  </si>
  <si>
    <t>ClusterList</t>
  </si>
  <si>
    <t>GenderList</t>
  </si>
  <si>
    <t>CCMList</t>
  </si>
  <si>
    <t>SourceList</t>
  </si>
  <si>
    <t>RoleList</t>
  </si>
  <si>
    <t>E10035</t>
  </si>
  <si>
    <t>E10038</t>
  </si>
  <si>
    <t>E10041</t>
  </si>
  <si>
    <t>E20007</t>
  </si>
  <si>
    <t>E20021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</si>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</sst>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5" fillId="3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40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general" vertical="center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  <name val="Calibri"/>
        <scheme val="minor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1Table" displayName="EmployeeData1Table" ref="A1:S51" dataDxfId="39">
  <autoFilter ref="A1:S51" xr:uid="{00000000-0009-0000-0100-000001000000}"/>
  <tableColumns count="19">
    <tableColumn id="1" xr3:uid="{00000000-0010-0000-0000-000001000000}" name="Branch/Team" dataDxfId="38"/>
    <tableColumn id="2" xr3:uid="{00000000-0010-0000-0000-000002000000}" name="Employee Id" dataDxfId="37"/>
    <tableColumn id="3" xr3:uid="{00000000-0010-0000-0000-000003000000}" name="Employee Name" dataDxfId="36"/>
    <tableColumn id="4" xr3:uid="{00000000-0010-0000-0000-000004000000}" name="Gender" dataDxfId="35"/>
    <tableColumn id="5" xr3:uid="{00000000-0010-0000-0000-000005000000}" name="Role" dataDxfId="34"/>
    <tableColumn id="6" xr3:uid="{00000000-0010-0000-0000-000006000000}" name="Salary Grade" dataDxfId="33"/>
    <tableColumn id="7" xr3:uid="{00000000-0010-0000-0000-000007000000}" name="Cluster" dataDxfId="32"/>
    <tableColumn id="8" xr3:uid="{00000000-0010-0000-0000-000008000000}" name="LM Employee ID" dataDxfId="31"/>
    <tableColumn id="9" xr3:uid="{00000000-0010-0000-0000-000009000000}" name="LM Name" dataDxfId="30"/>
    <tableColumn id="10" xr3:uid="{00000000-0010-0000-0000-00000A000000}" name="Current Headquarter" dataDxfId="29"/>
    <tableColumn id="11" xr3:uid="{00000000-0010-0000-0000-00000B000000}" name="Position Id" dataDxfId="28"/>
    <tableColumn id="12" xr3:uid="{00000000-0010-0000-0000-00000C000000}" name="CCM/CCH/GM" dataDxfId="27"/>
    <tableColumn id="13" xr3:uid="{00000000-0010-0000-0000-00000D000000}" name="Date of Birth" dataDxfId="26"/>
    <tableColumn id="14" xr3:uid="{00000000-0010-0000-0000-00000E000000}" name="Date of Joining" dataDxfId="25"/>
    <tableColumn id="15" xr3:uid="{00000000-0010-0000-0000-00000F000000}" name="Grade Entry Date" dataDxfId="24"/>
    <tableColumn id="16" xr3:uid="{00000000-0010-0000-0000-000010000000}" name="Age" dataDxfId="23"/>
    <tableColumn id="17" xr3:uid="{00000000-0010-0000-0000-000011000000}" name="Length Of Service (yrs)" dataDxfId="22"/>
    <tableColumn id="18" xr3:uid="{00000000-0010-0000-0000-000012000000}" name="Grade Res. Time (yrs)" dataDxfId="21"/>
    <tableColumn id="19" xr3:uid="{00000000-0010-0000-0000-000013000000}" name="Source of hir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Data2Table" displayName="EmployeeData2Table" ref="A1:S51" dataDxfId="19">
  <autoFilter ref="A1:S51" xr:uid="{00000000-0009-0000-0100-000002000000}"/>
  <tableColumns count="19">
    <tableColumn id="1" xr3:uid="{00000000-0010-0000-0100-000001000000}" name="Branch/Team" dataDxfId="18"/>
    <tableColumn id="2" xr3:uid="{00000000-0010-0000-0100-000002000000}" name="Employee Id" dataDxfId="17"/>
    <tableColumn id="3" xr3:uid="{00000000-0010-0000-0100-000003000000}" name="Employee Name" dataDxfId="16"/>
    <tableColumn id="4" xr3:uid="{00000000-0010-0000-0100-000004000000}" name="Gender" dataDxfId="15"/>
    <tableColumn id="5" xr3:uid="{00000000-0010-0000-0100-000005000000}" name="Role" dataDxfId="14"/>
    <tableColumn id="6" xr3:uid="{00000000-0010-0000-0100-000006000000}" name="Salary Grade" dataDxfId="13"/>
    <tableColumn id="7" xr3:uid="{00000000-0010-0000-0100-000007000000}" name="Cluster" dataDxfId="12"/>
    <tableColumn id="8" xr3:uid="{00000000-0010-0000-0100-000008000000}" name="LM Employee ID" dataDxfId="11"/>
    <tableColumn id="9" xr3:uid="{00000000-0010-0000-0100-000009000000}" name="LM Name" dataDxfId="10"/>
    <tableColumn id="10" xr3:uid="{00000000-0010-0000-0100-00000A000000}" name="Current Headquarter" dataDxfId="9"/>
    <tableColumn id="11" xr3:uid="{00000000-0010-0000-0100-00000B000000}" name="Position Id" dataDxfId="8"/>
    <tableColumn id="12" xr3:uid="{00000000-0010-0000-0100-00000C000000}" name="CCM/CCH/GM" dataDxfId="7"/>
    <tableColumn id="13" xr3:uid="{00000000-0010-0000-0100-00000D000000}" name="Date of Birth" dataDxfId="6"/>
    <tableColumn id="14" xr3:uid="{00000000-0010-0000-0100-00000E000000}" name="Date of Joining" dataDxfId="5"/>
    <tableColumn id="15" xr3:uid="{00000000-0010-0000-0100-00000F000000}" name="Grade Entry Date" dataDxfId="4"/>
    <tableColumn id="16" xr3:uid="{00000000-0010-0000-0100-000010000000}" name="Age" dataDxfId="3"/>
    <tableColumn id="17" xr3:uid="{00000000-0010-0000-0100-000011000000}" name="Length Of Service (yrs)" dataDxfId="2"/>
    <tableColumn id="18" xr3:uid="{00000000-0010-0000-0100-000012000000}" name="Grade Res. Time (yrs)" dataDxfId="1"/>
    <tableColumn id="19" xr3:uid="{00000000-0010-0000-0100-000013000000}" name="Source of h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BC78-E461-4711-8C40-375CEF37D90C}">
  <dimension ref="A1:Q7"/>
  <sheetViews>
    <sheetView showGridLines="0" tabSelected="1" workbookViewId="0">
      <selection activeCell="D15" sqref="D15"/>
    </sheetView>
  </sheetViews>
  <sheetFormatPr defaultRowHeight="14.4" x14ac:dyDescent="0.3"/>
  <sheetData>
    <row r="1" spans="1:17" x14ac:dyDescent="0.3">
      <c r="A1" s="9" t="s">
        <v>410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">
      <c r="A2" t="s">
        <v>0</v>
      </c>
    </row>
    <row r="3" spans="1:17" x14ac:dyDescent="0.3">
      <c r="A3" t="s">
        <v>1</v>
      </c>
    </row>
    <row r="4" spans="1:17" x14ac:dyDescent="0.3">
      <c r="A4" t="s">
        <v>2</v>
      </c>
    </row>
    <row r="5" spans="1:17" x14ac:dyDescent="0.3">
      <c r="A5" t="s">
        <v>3</v>
      </c>
    </row>
    <row r="6" spans="1:17" x14ac:dyDescent="0.3">
      <c r="A6" t="s">
        <v>4</v>
      </c>
    </row>
    <row r="7" spans="1:17" x14ac:dyDescent="0.3">
      <c r="A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showGridLines="0" workbookViewId="0">
      <pane ySplit="1" topLeftCell="A35" activePane="bottomLeft" state="frozen"/>
      <selection pane="bottomLeft" activeCell="B2" sqref="B2:B42"/>
    </sheetView>
  </sheetViews>
  <sheetFormatPr defaultRowHeight="14.4" x14ac:dyDescent="0.3"/>
  <cols>
    <col min="1" max="1" width="14" customWidth="1"/>
    <col min="2" max="2" width="13" customWidth="1"/>
    <col min="3" max="3" width="22" customWidth="1"/>
    <col min="4" max="4" width="10" customWidth="1"/>
    <col min="5" max="5" width="28" customWidth="1"/>
    <col min="6" max="6" width="13" customWidth="1"/>
    <col min="7" max="7" width="10" customWidth="1"/>
    <col min="8" max="8" width="15" customWidth="1"/>
    <col min="9" max="9" width="22" customWidth="1"/>
    <col min="10" max="10" width="20" customWidth="1"/>
    <col min="11" max="11" width="14" customWidth="1"/>
    <col min="12" max="12" width="12" customWidth="1"/>
    <col min="13" max="14" width="14" customWidth="1"/>
    <col min="15" max="15" width="16" customWidth="1"/>
    <col min="16" max="16" width="8" customWidth="1"/>
    <col min="17" max="18" width="18" customWidth="1"/>
    <col min="19" max="19" width="20" customWidth="1"/>
  </cols>
  <sheetData>
    <row r="1" spans="1:19" ht="33" customHeigh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3" t="s">
        <v>32</v>
      </c>
      <c r="J2" s="2" t="s">
        <v>33</v>
      </c>
      <c r="K2" s="2" t="s">
        <v>34</v>
      </c>
      <c r="L2" s="2" t="s">
        <v>35</v>
      </c>
      <c r="M2" s="4">
        <v>29316</v>
      </c>
      <c r="N2" s="4">
        <v>41383</v>
      </c>
      <c r="O2" s="4">
        <v>45801</v>
      </c>
      <c r="P2" s="2">
        <f t="shared" ref="P2:P33" ca="1" si="0">DATEDIF(M2,TODAY(),"Y")</f>
        <v>46</v>
      </c>
      <c r="Q2" s="5">
        <f t="shared" ref="Q2:Q33" ca="1" si="1">ROUND(DATEDIF(N2,TODAY(),"M")/12,1)</f>
        <v>13.3</v>
      </c>
      <c r="R2" s="5">
        <f t="shared" ref="R2:R33" ca="1" si="2">ROUND(DATEDIF(O2,TODAY(),"M")/12,1)</f>
        <v>1.2</v>
      </c>
      <c r="S2" s="2" t="s">
        <v>36</v>
      </c>
    </row>
    <row r="3" spans="1:19" x14ac:dyDescent="0.3">
      <c r="A3" s="2" t="s">
        <v>37</v>
      </c>
      <c r="B3" s="2" t="s">
        <v>38</v>
      </c>
      <c r="C3" s="2" t="s">
        <v>39</v>
      </c>
      <c r="D3" s="2" t="s">
        <v>27</v>
      </c>
      <c r="E3" s="2" t="s">
        <v>40</v>
      </c>
      <c r="F3" s="2" t="s">
        <v>41</v>
      </c>
      <c r="G3" s="2" t="s">
        <v>30</v>
      </c>
      <c r="H3" s="2" t="s">
        <v>42</v>
      </c>
      <c r="I3" s="3" t="s">
        <v>43</v>
      </c>
      <c r="J3" s="2" t="s">
        <v>44</v>
      </c>
      <c r="K3" s="2" t="s">
        <v>45</v>
      </c>
      <c r="L3" s="2" t="s">
        <v>46</v>
      </c>
      <c r="M3" s="4">
        <v>36225</v>
      </c>
      <c r="N3" s="4">
        <v>42172</v>
      </c>
      <c r="O3" s="4">
        <v>45870</v>
      </c>
      <c r="P3" s="2">
        <f t="shared" ca="1" si="0"/>
        <v>27</v>
      </c>
      <c r="Q3" s="5">
        <f t="shared" ca="1" si="1"/>
        <v>11.1</v>
      </c>
      <c r="R3" s="5">
        <f t="shared" ca="1" si="2"/>
        <v>0.9</v>
      </c>
      <c r="S3" s="2" t="s">
        <v>47</v>
      </c>
    </row>
    <row r="4" spans="1:19" x14ac:dyDescent="0.3">
      <c r="A4" s="2" t="s">
        <v>37</v>
      </c>
      <c r="B4" s="2" t="s">
        <v>48</v>
      </c>
      <c r="C4" s="2" t="s">
        <v>49</v>
      </c>
      <c r="D4" s="2" t="s">
        <v>50</v>
      </c>
      <c r="E4" s="2" t="s">
        <v>40</v>
      </c>
      <c r="F4" s="2" t="s">
        <v>29</v>
      </c>
      <c r="G4" s="2" t="s">
        <v>51</v>
      </c>
      <c r="H4" s="2" t="s">
        <v>52</v>
      </c>
      <c r="I4" s="6" t="s">
        <v>53</v>
      </c>
      <c r="J4" s="2" t="s">
        <v>54</v>
      </c>
      <c r="K4" s="2" t="s">
        <v>55</v>
      </c>
      <c r="L4" s="2" t="s">
        <v>35</v>
      </c>
      <c r="M4" s="4">
        <v>30557</v>
      </c>
      <c r="N4" s="4">
        <v>43301</v>
      </c>
      <c r="O4" s="4">
        <v>43889</v>
      </c>
      <c r="P4" s="2">
        <f t="shared" ca="1" si="0"/>
        <v>42</v>
      </c>
      <c r="Q4" s="5">
        <f t="shared" ca="1" si="1"/>
        <v>8</v>
      </c>
      <c r="R4" s="5">
        <f t="shared" ca="1" si="2"/>
        <v>6.4</v>
      </c>
      <c r="S4" s="2" t="s">
        <v>56</v>
      </c>
    </row>
    <row r="5" spans="1:19" x14ac:dyDescent="0.3">
      <c r="A5" s="2" t="s">
        <v>57</v>
      </c>
      <c r="B5" s="2" t="s">
        <v>58</v>
      </c>
      <c r="C5" s="2" t="s">
        <v>59</v>
      </c>
      <c r="D5" s="2" t="s">
        <v>50</v>
      </c>
      <c r="E5" s="2" t="s">
        <v>60</v>
      </c>
      <c r="F5" s="2" t="s">
        <v>41</v>
      </c>
      <c r="G5" s="2" t="s">
        <v>30</v>
      </c>
      <c r="H5" s="2" t="s">
        <v>61</v>
      </c>
      <c r="I5" s="6" t="s">
        <v>62</v>
      </c>
      <c r="J5" s="2" t="s">
        <v>63</v>
      </c>
      <c r="K5" s="2" t="s">
        <v>64</v>
      </c>
      <c r="L5" s="2" t="s">
        <v>65</v>
      </c>
      <c r="M5" s="4">
        <v>28321</v>
      </c>
      <c r="N5" s="4">
        <v>45066</v>
      </c>
      <c r="O5" s="4">
        <v>46036</v>
      </c>
      <c r="P5" s="2">
        <f t="shared" ca="1" si="0"/>
        <v>49</v>
      </c>
      <c r="Q5" s="5">
        <f t="shared" ca="1" si="1"/>
        <v>3.2</v>
      </c>
      <c r="R5" s="5">
        <f t="shared" ca="1" si="2"/>
        <v>0.5</v>
      </c>
      <c r="S5" s="2" t="s">
        <v>66</v>
      </c>
    </row>
    <row r="6" spans="1:19" x14ac:dyDescent="0.3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3" t="s">
        <v>75</v>
      </c>
      <c r="J6" s="2" t="s">
        <v>76</v>
      </c>
      <c r="K6" s="2" t="s">
        <v>77</v>
      </c>
      <c r="L6" s="2" t="s">
        <v>65</v>
      </c>
      <c r="M6" s="4">
        <v>33257</v>
      </c>
      <c r="N6" s="4">
        <v>42821</v>
      </c>
      <c r="O6" s="4">
        <v>45243</v>
      </c>
      <c r="P6" s="2">
        <f t="shared" ca="1" si="0"/>
        <v>35</v>
      </c>
      <c r="Q6" s="5">
        <f t="shared" ca="1" si="1"/>
        <v>9.3000000000000007</v>
      </c>
      <c r="R6" s="5">
        <f t="shared" ca="1" si="2"/>
        <v>2.7</v>
      </c>
      <c r="S6" s="2" t="s">
        <v>66</v>
      </c>
    </row>
    <row r="7" spans="1:19" x14ac:dyDescent="0.3">
      <c r="A7" s="2" t="s">
        <v>57</v>
      </c>
      <c r="B7" s="2" t="s">
        <v>78</v>
      </c>
      <c r="C7" s="2" t="s">
        <v>79</v>
      </c>
      <c r="D7" s="2" t="s">
        <v>50</v>
      </c>
      <c r="E7" s="2" t="s">
        <v>80</v>
      </c>
      <c r="F7" s="2" t="s">
        <v>81</v>
      </c>
      <c r="G7" s="2" t="s">
        <v>30</v>
      </c>
      <c r="H7" s="2" t="s">
        <v>31</v>
      </c>
      <c r="I7" s="6" t="s">
        <v>82</v>
      </c>
      <c r="J7" s="2" t="s">
        <v>33</v>
      </c>
      <c r="K7" s="2" t="s">
        <v>83</v>
      </c>
      <c r="L7" s="2" t="s">
        <v>65</v>
      </c>
      <c r="M7" s="4">
        <v>29707</v>
      </c>
      <c r="N7" s="4">
        <v>44330</v>
      </c>
      <c r="O7" s="4">
        <v>45659</v>
      </c>
      <c r="P7" s="2">
        <f t="shared" ca="1" si="0"/>
        <v>45</v>
      </c>
      <c r="Q7" s="5">
        <f t="shared" ca="1" si="1"/>
        <v>5.2</v>
      </c>
      <c r="R7" s="5">
        <f t="shared" ca="1" si="2"/>
        <v>1.5</v>
      </c>
      <c r="S7" s="2" t="s">
        <v>66</v>
      </c>
    </row>
    <row r="8" spans="1:19" x14ac:dyDescent="0.3">
      <c r="A8" s="2" t="s">
        <v>57</v>
      </c>
      <c r="B8" s="2" t="s">
        <v>84</v>
      </c>
      <c r="C8" s="2" t="s">
        <v>85</v>
      </c>
      <c r="D8" s="2" t="s">
        <v>27</v>
      </c>
      <c r="E8" s="2" t="s">
        <v>60</v>
      </c>
      <c r="F8" s="2" t="s">
        <v>81</v>
      </c>
      <c r="G8" s="2" t="s">
        <v>30</v>
      </c>
      <c r="H8" s="2" t="s">
        <v>86</v>
      </c>
      <c r="I8" s="6" t="s">
        <v>87</v>
      </c>
      <c r="J8" s="2" t="s">
        <v>88</v>
      </c>
      <c r="K8" s="2" t="s">
        <v>89</v>
      </c>
      <c r="L8" s="2" t="s">
        <v>65</v>
      </c>
      <c r="M8" s="4">
        <v>33602</v>
      </c>
      <c r="N8" s="4">
        <v>42737</v>
      </c>
      <c r="O8" s="4">
        <v>43736</v>
      </c>
      <c r="P8" s="2">
        <f t="shared" ca="1" si="0"/>
        <v>34</v>
      </c>
      <c r="Q8" s="5">
        <f t="shared" ca="1" si="1"/>
        <v>9.5</v>
      </c>
      <c r="R8" s="5">
        <f t="shared" ca="1" si="2"/>
        <v>6.8</v>
      </c>
      <c r="S8" s="2" t="s">
        <v>66</v>
      </c>
    </row>
    <row r="9" spans="1:19" x14ac:dyDescent="0.3">
      <c r="A9" s="2" t="s">
        <v>90</v>
      </c>
      <c r="B9" s="2" t="s">
        <v>91</v>
      </c>
      <c r="C9" s="2" t="s">
        <v>92</v>
      </c>
      <c r="D9" s="2" t="s">
        <v>50</v>
      </c>
      <c r="E9" s="2" t="s">
        <v>28</v>
      </c>
      <c r="F9" s="2"/>
      <c r="G9" s="2" t="s">
        <v>93</v>
      </c>
      <c r="H9" s="2" t="s">
        <v>52</v>
      </c>
      <c r="I9" s="6" t="s">
        <v>53</v>
      </c>
      <c r="J9" s="2" t="s">
        <v>94</v>
      </c>
      <c r="K9" s="2" t="s">
        <v>95</v>
      </c>
      <c r="L9" s="2" t="s">
        <v>46</v>
      </c>
      <c r="M9" s="4">
        <v>31369</v>
      </c>
      <c r="N9" s="4">
        <v>41687</v>
      </c>
      <c r="O9" s="4">
        <v>45243</v>
      </c>
      <c r="P9" s="2">
        <f t="shared" ca="1" si="0"/>
        <v>40</v>
      </c>
      <c r="Q9" s="5">
        <f t="shared" ca="1" si="1"/>
        <v>12.4</v>
      </c>
      <c r="R9" s="5">
        <f t="shared" ca="1" si="2"/>
        <v>2.7</v>
      </c>
      <c r="S9" s="2" t="s">
        <v>56</v>
      </c>
    </row>
    <row r="10" spans="1:19" x14ac:dyDescent="0.3">
      <c r="A10" s="2" t="s">
        <v>90</v>
      </c>
      <c r="B10" s="2" t="s">
        <v>96</v>
      </c>
      <c r="C10" s="2" t="s">
        <v>97</v>
      </c>
      <c r="D10" s="2" t="s">
        <v>27</v>
      </c>
      <c r="E10" s="2" t="s">
        <v>98</v>
      </c>
      <c r="F10" s="2" t="s">
        <v>41</v>
      </c>
      <c r="G10" s="2" t="s">
        <v>99</v>
      </c>
      <c r="H10" s="2" t="s">
        <v>100</v>
      </c>
      <c r="I10" s="6" t="s">
        <v>101</v>
      </c>
      <c r="J10" s="2" t="s">
        <v>102</v>
      </c>
      <c r="K10" s="2" t="s">
        <v>103</v>
      </c>
      <c r="L10" s="2" t="s">
        <v>46</v>
      </c>
      <c r="M10" s="4">
        <v>35115</v>
      </c>
      <c r="N10" s="4">
        <v>41288</v>
      </c>
      <c r="O10" s="4">
        <v>43027</v>
      </c>
      <c r="P10" s="2">
        <f t="shared" ca="1" si="0"/>
        <v>30</v>
      </c>
      <c r="Q10" s="5">
        <f t="shared" ca="1" si="1"/>
        <v>13.5</v>
      </c>
      <c r="R10" s="5">
        <f t="shared" ca="1" si="2"/>
        <v>8.8000000000000007</v>
      </c>
      <c r="S10" s="2" t="s">
        <v>104</v>
      </c>
    </row>
    <row r="11" spans="1:19" x14ac:dyDescent="0.3">
      <c r="A11" s="2" t="s">
        <v>105</v>
      </c>
      <c r="B11" s="2" t="s">
        <v>106</v>
      </c>
      <c r="C11" s="2" t="s">
        <v>107</v>
      </c>
      <c r="D11" s="2" t="s">
        <v>27</v>
      </c>
      <c r="E11" s="2" t="s">
        <v>108</v>
      </c>
      <c r="F11" s="2" t="s">
        <v>81</v>
      </c>
      <c r="G11" s="2" t="s">
        <v>30</v>
      </c>
      <c r="H11" s="2" t="s">
        <v>100</v>
      </c>
      <c r="I11" s="6" t="s">
        <v>101</v>
      </c>
      <c r="J11" s="2" t="s">
        <v>63</v>
      </c>
      <c r="K11" s="2" t="s">
        <v>109</v>
      </c>
      <c r="L11" s="2" t="s">
        <v>46</v>
      </c>
      <c r="M11" s="4">
        <v>31149</v>
      </c>
      <c r="N11" s="4">
        <v>45076</v>
      </c>
      <c r="O11" s="4">
        <v>45076</v>
      </c>
      <c r="P11" s="2">
        <f t="shared" ca="1" si="0"/>
        <v>41</v>
      </c>
      <c r="Q11" s="5">
        <f t="shared" ca="1" si="1"/>
        <v>3.1</v>
      </c>
      <c r="R11" s="5">
        <f t="shared" ca="1" si="2"/>
        <v>3.1</v>
      </c>
      <c r="S11" s="2" t="s">
        <v>56</v>
      </c>
    </row>
    <row r="12" spans="1:19" x14ac:dyDescent="0.3">
      <c r="A12" s="2" t="s">
        <v>57</v>
      </c>
      <c r="B12" s="2" t="s">
        <v>110</v>
      </c>
      <c r="C12" s="2" t="s">
        <v>111</v>
      </c>
      <c r="D12" s="2" t="s">
        <v>27</v>
      </c>
      <c r="E12" s="2" t="s">
        <v>28</v>
      </c>
      <c r="F12" s="2"/>
      <c r="G12" s="2" t="s">
        <v>73</v>
      </c>
      <c r="H12" s="2" t="s">
        <v>112</v>
      </c>
      <c r="I12" s="3" t="s">
        <v>113</v>
      </c>
      <c r="J12" s="2" t="s">
        <v>76</v>
      </c>
      <c r="K12" s="2" t="s">
        <v>114</v>
      </c>
      <c r="L12" s="2" t="s">
        <v>46</v>
      </c>
      <c r="M12" s="4">
        <v>27083</v>
      </c>
      <c r="N12" s="4">
        <v>42701</v>
      </c>
      <c r="O12" s="4">
        <v>44457</v>
      </c>
      <c r="P12" s="2">
        <f t="shared" ca="1" si="0"/>
        <v>52</v>
      </c>
      <c r="Q12" s="5">
        <f t="shared" ca="1" si="1"/>
        <v>9.6999999999999993</v>
      </c>
      <c r="R12" s="5">
        <f t="shared" ca="1" si="2"/>
        <v>4.8</v>
      </c>
      <c r="S12" s="2" t="s">
        <v>56</v>
      </c>
    </row>
    <row r="13" spans="1:19" x14ac:dyDescent="0.3">
      <c r="A13" s="2" t="s">
        <v>105</v>
      </c>
      <c r="B13" s="2" t="s">
        <v>115</v>
      </c>
      <c r="C13" s="2" t="s">
        <v>116</v>
      </c>
      <c r="D13" s="2" t="s">
        <v>27</v>
      </c>
      <c r="E13" s="2" t="s">
        <v>117</v>
      </c>
      <c r="F13" s="2" t="s">
        <v>29</v>
      </c>
      <c r="G13" s="2" t="s">
        <v>51</v>
      </c>
      <c r="H13" s="2" t="s">
        <v>100</v>
      </c>
      <c r="I13" s="6" t="s">
        <v>101</v>
      </c>
      <c r="J13" s="2" t="s">
        <v>118</v>
      </c>
      <c r="K13" s="2" t="s">
        <v>119</v>
      </c>
      <c r="L13" s="2" t="s">
        <v>35</v>
      </c>
      <c r="M13" s="4">
        <v>35719</v>
      </c>
      <c r="N13" s="4">
        <v>40548</v>
      </c>
      <c r="O13" s="4">
        <v>44429</v>
      </c>
      <c r="P13" s="2">
        <f t="shared" ca="1" si="0"/>
        <v>28</v>
      </c>
      <c r="Q13" s="5">
        <f t="shared" ca="1" si="1"/>
        <v>15.5</v>
      </c>
      <c r="R13" s="5">
        <f t="shared" ca="1" si="2"/>
        <v>4.9000000000000004</v>
      </c>
      <c r="S13" s="2" t="s">
        <v>47</v>
      </c>
    </row>
    <row r="14" spans="1:19" x14ac:dyDescent="0.3">
      <c r="A14" s="2" t="s">
        <v>67</v>
      </c>
      <c r="B14" s="2" t="s">
        <v>120</v>
      </c>
      <c r="C14" s="2" t="s">
        <v>121</v>
      </c>
      <c r="D14" s="2" t="s">
        <v>27</v>
      </c>
      <c r="E14" s="2" t="s">
        <v>71</v>
      </c>
      <c r="F14" s="2" t="s">
        <v>41</v>
      </c>
      <c r="G14" s="2" t="s">
        <v>30</v>
      </c>
      <c r="H14" s="2" t="s">
        <v>74</v>
      </c>
      <c r="I14" s="3" t="s">
        <v>75</v>
      </c>
      <c r="J14" s="2" t="s">
        <v>44</v>
      </c>
      <c r="K14" s="2" t="s">
        <v>122</v>
      </c>
      <c r="L14" s="2" t="s">
        <v>46</v>
      </c>
      <c r="M14" s="4">
        <v>34992</v>
      </c>
      <c r="N14" s="4">
        <v>41110</v>
      </c>
      <c r="O14" s="4">
        <v>44848</v>
      </c>
      <c r="P14" s="2">
        <f t="shared" ca="1" si="0"/>
        <v>30</v>
      </c>
      <c r="Q14" s="5">
        <f t="shared" ca="1" si="1"/>
        <v>14</v>
      </c>
      <c r="R14" s="5">
        <f t="shared" ca="1" si="2"/>
        <v>3.8</v>
      </c>
      <c r="S14" s="2" t="s">
        <v>123</v>
      </c>
    </row>
    <row r="15" spans="1:19" x14ac:dyDescent="0.3">
      <c r="A15" s="2" t="s">
        <v>57</v>
      </c>
      <c r="B15" s="2" t="s">
        <v>124</v>
      </c>
      <c r="C15" s="2" t="s">
        <v>125</v>
      </c>
      <c r="D15" s="2" t="s">
        <v>50</v>
      </c>
      <c r="E15" s="2" t="s">
        <v>117</v>
      </c>
      <c r="F15" s="2" t="s">
        <v>126</v>
      </c>
      <c r="G15" s="2" t="s">
        <v>99</v>
      </c>
      <c r="H15" s="2" t="s">
        <v>100</v>
      </c>
      <c r="I15" s="6" t="s">
        <v>101</v>
      </c>
      <c r="J15" s="2" t="s">
        <v>127</v>
      </c>
      <c r="K15" s="2" t="s">
        <v>128</v>
      </c>
      <c r="L15" s="2" t="s">
        <v>65</v>
      </c>
      <c r="M15" s="4">
        <v>30325</v>
      </c>
      <c r="N15" s="4">
        <v>43097</v>
      </c>
      <c r="O15" s="4">
        <v>45443</v>
      </c>
      <c r="P15" s="2">
        <f t="shared" ca="1" si="0"/>
        <v>43</v>
      </c>
      <c r="Q15" s="5">
        <f t="shared" ca="1" si="1"/>
        <v>8.6</v>
      </c>
      <c r="R15" s="5">
        <f t="shared" ca="1" si="2"/>
        <v>2.1</v>
      </c>
      <c r="S15" s="2" t="s">
        <v>123</v>
      </c>
    </row>
    <row r="16" spans="1:19" x14ac:dyDescent="0.3">
      <c r="A16" s="2" t="s">
        <v>67</v>
      </c>
      <c r="B16" s="2" t="s">
        <v>129</v>
      </c>
      <c r="C16" s="2" t="s">
        <v>130</v>
      </c>
      <c r="D16" s="2" t="s">
        <v>27</v>
      </c>
      <c r="E16" s="2" t="s">
        <v>131</v>
      </c>
      <c r="F16" s="2" t="s">
        <v>81</v>
      </c>
      <c r="G16" s="2" t="s">
        <v>30</v>
      </c>
      <c r="H16" s="2" t="s">
        <v>31</v>
      </c>
      <c r="I16" s="6" t="s">
        <v>82</v>
      </c>
      <c r="J16" s="2" t="s">
        <v>63</v>
      </c>
      <c r="K16" s="2" t="s">
        <v>132</v>
      </c>
      <c r="L16" s="2" t="s">
        <v>65</v>
      </c>
      <c r="M16" s="4">
        <v>36671</v>
      </c>
      <c r="N16" s="4">
        <v>42348</v>
      </c>
      <c r="O16" s="4">
        <v>42652</v>
      </c>
      <c r="P16" s="2">
        <f t="shared" ca="1" si="0"/>
        <v>26</v>
      </c>
      <c r="Q16" s="5">
        <f t="shared" ca="1" si="1"/>
        <v>10.6</v>
      </c>
      <c r="R16" s="5">
        <f t="shared" ca="1" si="2"/>
        <v>9.8000000000000007</v>
      </c>
      <c r="S16" s="2" t="s">
        <v>36</v>
      </c>
    </row>
    <row r="17" spans="1:19" x14ac:dyDescent="0.3">
      <c r="A17" s="2" t="s">
        <v>37</v>
      </c>
      <c r="B17" s="2" t="s">
        <v>133</v>
      </c>
      <c r="C17" s="2" t="s">
        <v>134</v>
      </c>
      <c r="D17" s="2" t="s">
        <v>27</v>
      </c>
      <c r="E17" s="2" t="s">
        <v>60</v>
      </c>
      <c r="F17" s="2" t="s">
        <v>126</v>
      </c>
      <c r="G17" s="2" t="s">
        <v>73</v>
      </c>
      <c r="H17" s="2" t="s">
        <v>112</v>
      </c>
      <c r="I17" s="3" t="s">
        <v>113</v>
      </c>
      <c r="J17" s="2" t="s">
        <v>135</v>
      </c>
      <c r="K17" s="2" t="s">
        <v>136</v>
      </c>
      <c r="L17" s="2" t="s">
        <v>65</v>
      </c>
      <c r="M17" s="4">
        <v>30540</v>
      </c>
      <c r="N17" s="4">
        <v>44961</v>
      </c>
      <c r="O17" s="4">
        <v>45971</v>
      </c>
      <c r="P17" s="2">
        <f t="shared" ca="1" si="0"/>
        <v>42</v>
      </c>
      <c r="Q17" s="5">
        <f t="shared" ca="1" si="1"/>
        <v>3.4</v>
      </c>
      <c r="R17" s="5">
        <f t="shared" ca="1" si="2"/>
        <v>0.7</v>
      </c>
      <c r="S17" s="2" t="s">
        <v>104</v>
      </c>
    </row>
    <row r="18" spans="1:19" x14ac:dyDescent="0.3">
      <c r="A18" s="2" t="s">
        <v>90</v>
      </c>
      <c r="B18" s="2" t="s">
        <v>137</v>
      </c>
      <c r="C18" s="2" t="s">
        <v>138</v>
      </c>
      <c r="D18" s="2" t="s">
        <v>27</v>
      </c>
      <c r="E18" s="2" t="s">
        <v>80</v>
      </c>
      <c r="F18" s="2" t="s">
        <v>81</v>
      </c>
      <c r="G18" s="2" t="s">
        <v>51</v>
      </c>
      <c r="H18" s="2" t="s">
        <v>86</v>
      </c>
      <c r="I18" s="3" t="s">
        <v>32</v>
      </c>
      <c r="J18" s="2" t="s">
        <v>118</v>
      </c>
      <c r="K18" s="2" t="s">
        <v>139</v>
      </c>
      <c r="L18" s="2" t="s">
        <v>65</v>
      </c>
      <c r="M18" s="4">
        <v>33969</v>
      </c>
      <c r="N18" s="4">
        <v>43911</v>
      </c>
      <c r="O18" s="4">
        <v>44977</v>
      </c>
      <c r="P18" s="2">
        <f t="shared" ca="1" si="0"/>
        <v>33</v>
      </c>
      <c r="Q18" s="5">
        <f t="shared" ca="1" si="1"/>
        <v>6.3</v>
      </c>
      <c r="R18" s="5">
        <f t="shared" ca="1" si="2"/>
        <v>3.4</v>
      </c>
      <c r="S18" s="2" t="s">
        <v>104</v>
      </c>
    </row>
    <row r="19" spans="1:19" x14ac:dyDescent="0.3">
      <c r="A19" s="2" t="s">
        <v>24</v>
      </c>
      <c r="B19" s="2" t="s">
        <v>140</v>
      </c>
      <c r="C19" s="2" t="s">
        <v>141</v>
      </c>
      <c r="D19" s="2" t="s">
        <v>50</v>
      </c>
      <c r="E19" s="2" t="s">
        <v>40</v>
      </c>
      <c r="F19" s="2" t="s">
        <v>41</v>
      </c>
      <c r="G19" s="2" t="s">
        <v>73</v>
      </c>
      <c r="H19" s="2" t="s">
        <v>31</v>
      </c>
      <c r="I19" s="6" t="s">
        <v>82</v>
      </c>
      <c r="J19" s="2" t="s">
        <v>76</v>
      </c>
      <c r="K19" s="2" t="s">
        <v>142</v>
      </c>
      <c r="L19" s="2" t="s">
        <v>35</v>
      </c>
      <c r="M19" s="4">
        <v>30146</v>
      </c>
      <c r="N19" s="4">
        <v>44937</v>
      </c>
      <c r="O19" s="4">
        <v>45926</v>
      </c>
      <c r="P19" s="2">
        <f t="shared" ca="1" si="0"/>
        <v>44</v>
      </c>
      <c r="Q19" s="5">
        <f t="shared" ca="1" si="1"/>
        <v>3.5</v>
      </c>
      <c r="R19" s="5">
        <f t="shared" ca="1" si="2"/>
        <v>0.8</v>
      </c>
      <c r="S19" s="2" t="s">
        <v>123</v>
      </c>
    </row>
    <row r="20" spans="1:19" x14ac:dyDescent="0.3">
      <c r="A20" s="2" t="s">
        <v>37</v>
      </c>
      <c r="B20" s="2" t="s">
        <v>143</v>
      </c>
      <c r="C20" s="2" t="s">
        <v>144</v>
      </c>
      <c r="D20" s="2" t="s">
        <v>50</v>
      </c>
      <c r="E20" s="2" t="s">
        <v>108</v>
      </c>
      <c r="F20" s="2" t="s">
        <v>29</v>
      </c>
      <c r="G20" s="2" t="s">
        <v>93</v>
      </c>
      <c r="H20" s="2" t="s">
        <v>74</v>
      </c>
      <c r="I20" s="3" t="s">
        <v>75</v>
      </c>
      <c r="J20" s="2" t="s">
        <v>145</v>
      </c>
      <c r="K20" s="2" t="s">
        <v>146</v>
      </c>
      <c r="L20" s="2" t="s">
        <v>65</v>
      </c>
      <c r="M20" s="4">
        <v>27858</v>
      </c>
      <c r="N20" s="4">
        <v>45886</v>
      </c>
      <c r="O20" s="4">
        <v>45886</v>
      </c>
      <c r="P20" s="2">
        <f t="shared" ca="1" si="0"/>
        <v>50</v>
      </c>
      <c r="Q20" s="5">
        <f t="shared" ca="1" si="1"/>
        <v>0.9</v>
      </c>
      <c r="R20" s="5">
        <f t="shared" ca="1" si="2"/>
        <v>0.9</v>
      </c>
      <c r="S20" s="2" t="s">
        <v>104</v>
      </c>
    </row>
    <row r="21" spans="1:19" x14ac:dyDescent="0.3">
      <c r="A21" s="2" t="s">
        <v>90</v>
      </c>
      <c r="B21" s="2" t="s">
        <v>147</v>
      </c>
      <c r="C21" s="2" t="s">
        <v>148</v>
      </c>
      <c r="D21" s="2" t="s">
        <v>27</v>
      </c>
      <c r="E21" s="2" t="s">
        <v>149</v>
      </c>
      <c r="F21" s="2" t="s">
        <v>150</v>
      </c>
      <c r="G21" s="2" t="s">
        <v>93</v>
      </c>
      <c r="H21" s="2" t="s">
        <v>42</v>
      </c>
      <c r="I21" s="3" t="s">
        <v>43</v>
      </c>
      <c r="J21" s="2" t="s">
        <v>151</v>
      </c>
      <c r="K21" s="2" t="s">
        <v>152</v>
      </c>
      <c r="L21" s="2" t="s">
        <v>35</v>
      </c>
      <c r="M21" s="4">
        <v>29727</v>
      </c>
      <c r="N21" s="4">
        <v>43648</v>
      </c>
      <c r="O21" s="4">
        <v>45251</v>
      </c>
      <c r="P21" s="2">
        <f t="shared" ca="1" si="0"/>
        <v>45</v>
      </c>
      <c r="Q21" s="5">
        <f t="shared" ca="1" si="1"/>
        <v>7</v>
      </c>
      <c r="R21" s="5">
        <f t="shared" ca="1" si="2"/>
        <v>2.7</v>
      </c>
      <c r="S21" s="2" t="s">
        <v>104</v>
      </c>
    </row>
    <row r="22" spans="1:19" x14ac:dyDescent="0.3">
      <c r="A22" s="2" t="s">
        <v>24</v>
      </c>
      <c r="B22" s="2" t="s">
        <v>153</v>
      </c>
      <c r="C22" s="2" t="s">
        <v>154</v>
      </c>
      <c r="D22" s="2" t="s">
        <v>50</v>
      </c>
      <c r="E22" s="2" t="s">
        <v>131</v>
      </c>
      <c r="F22" s="2" t="s">
        <v>126</v>
      </c>
      <c r="G22" s="2" t="s">
        <v>99</v>
      </c>
      <c r="H22" s="2" t="s">
        <v>31</v>
      </c>
      <c r="I22" s="6" t="s">
        <v>82</v>
      </c>
      <c r="J22" s="2" t="s">
        <v>155</v>
      </c>
      <c r="K22" s="2" t="s">
        <v>156</v>
      </c>
      <c r="L22" s="2" t="s">
        <v>46</v>
      </c>
      <c r="M22" s="4">
        <v>31891</v>
      </c>
      <c r="N22" s="4">
        <v>42327</v>
      </c>
      <c r="O22" s="4">
        <v>44818</v>
      </c>
      <c r="P22" s="2">
        <f t="shared" ca="1" si="0"/>
        <v>39</v>
      </c>
      <c r="Q22" s="5">
        <f t="shared" ca="1" si="1"/>
        <v>10.7</v>
      </c>
      <c r="R22" s="5">
        <f t="shared" ca="1" si="2"/>
        <v>3.8</v>
      </c>
      <c r="S22" s="2" t="s">
        <v>47</v>
      </c>
    </row>
    <row r="23" spans="1:19" x14ac:dyDescent="0.3">
      <c r="A23" s="2" t="s">
        <v>37</v>
      </c>
      <c r="B23" s="2" t="s">
        <v>157</v>
      </c>
      <c r="C23" s="2" t="s">
        <v>158</v>
      </c>
      <c r="D23" s="2" t="s">
        <v>50</v>
      </c>
      <c r="E23" s="2" t="s">
        <v>71</v>
      </c>
      <c r="F23" s="2" t="s">
        <v>29</v>
      </c>
      <c r="G23" s="2" t="s">
        <v>30</v>
      </c>
      <c r="H23" s="2" t="s">
        <v>100</v>
      </c>
      <c r="I23" s="6" t="s">
        <v>101</v>
      </c>
      <c r="J23" s="2" t="s">
        <v>33</v>
      </c>
      <c r="K23" s="2" t="s">
        <v>159</v>
      </c>
      <c r="L23" s="2" t="s">
        <v>65</v>
      </c>
      <c r="M23" s="4">
        <v>29609</v>
      </c>
      <c r="N23" s="4">
        <v>41009</v>
      </c>
      <c r="O23" s="4">
        <v>42705</v>
      </c>
      <c r="P23" s="2">
        <f t="shared" ca="1" si="0"/>
        <v>45</v>
      </c>
      <c r="Q23" s="5">
        <f t="shared" ca="1" si="1"/>
        <v>14.3</v>
      </c>
      <c r="R23" s="5">
        <f t="shared" ca="1" si="2"/>
        <v>9.6</v>
      </c>
      <c r="S23" s="2" t="s">
        <v>66</v>
      </c>
    </row>
    <row r="24" spans="1:19" x14ac:dyDescent="0.3">
      <c r="A24" s="2" t="s">
        <v>67</v>
      </c>
      <c r="B24" s="2" t="s">
        <v>160</v>
      </c>
      <c r="C24" s="2" t="s">
        <v>161</v>
      </c>
      <c r="D24" s="2" t="s">
        <v>27</v>
      </c>
      <c r="E24" s="2" t="s">
        <v>98</v>
      </c>
      <c r="F24" s="2" t="s">
        <v>162</v>
      </c>
      <c r="G24" s="2" t="s">
        <v>93</v>
      </c>
      <c r="H24" s="2" t="s">
        <v>31</v>
      </c>
      <c r="I24" s="6" t="s">
        <v>82</v>
      </c>
      <c r="J24" s="2" t="s">
        <v>163</v>
      </c>
      <c r="K24" s="2" t="s">
        <v>164</v>
      </c>
      <c r="L24" s="2" t="s">
        <v>46</v>
      </c>
      <c r="M24" s="4">
        <v>36515</v>
      </c>
      <c r="N24" s="4">
        <v>45414</v>
      </c>
      <c r="O24" s="4">
        <v>46129</v>
      </c>
      <c r="P24" s="2">
        <f t="shared" ca="1" si="0"/>
        <v>26</v>
      </c>
      <c r="Q24" s="5">
        <f t="shared" ca="1" si="1"/>
        <v>2.2000000000000002</v>
      </c>
      <c r="R24" s="5">
        <f t="shared" ca="1" si="2"/>
        <v>0.3</v>
      </c>
      <c r="S24" s="2" t="s">
        <v>56</v>
      </c>
    </row>
    <row r="25" spans="1:19" x14ac:dyDescent="0.3">
      <c r="A25" s="2" t="s">
        <v>57</v>
      </c>
      <c r="B25" s="2" t="s">
        <v>165</v>
      </c>
      <c r="C25" s="2" t="s">
        <v>166</v>
      </c>
      <c r="D25" s="2" t="s">
        <v>27</v>
      </c>
      <c r="E25" s="2" t="s">
        <v>117</v>
      </c>
      <c r="F25" s="2" t="s">
        <v>72</v>
      </c>
      <c r="G25" s="2" t="s">
        <v>73</v>
      </c>
      <c r="H25" s="2" t="s">
        <v>31</v>
      </c>
      <c r="I25" s="6" t="s">
        <v>82</v>
      </c>
      <c r="J25" s="2" t="s">
        <v>167</v>
      </c>
      <c r="K25" s="2" t="s">
        <v>168</v>
      </c>
      <c r="L25" s="2" t="s">
        <v>65</v>
      </c>
      <c r="M25" s="4">
        <v>31381</v>
      </c>
      <c r="N25" s="4">
        <v>43786</v>
      </c>
      <c r="O25" s="4">
        <v>45282</v>
      </c>
      <c r="P25" s="2">
        <f t="shared" ca="1" si="0"/>
        <v>40</v>
      </c>
      <c r="Q25" s="5">
        <f t="shared" ca="1" si="1"/>
        <v>6.7</v>
      </c>
      <c r="R25" s="5">
        <f t="shared" ca="1" si="2"/>
        <v>2.6</v>
      </c>
      <c r="S25" s="2" t="s">
        <v>104</v>
      </c>
    </row>
    <row r="26" spans="1:19" x14ac:dyDescent="0.3">
      <c r="A26" s="2" t="s">
        <v>105</v>
      </c>
      <c r="B26" s="2" t="s">
        <v>169</v>
      </c>
      <c r="C26" s="2" t="s">
        <v>170</v>
      </c>
      <c r="D26" s="2" t="s">
        <v>70</v>
      </c>
      <c r="E26" s="2" t="s">
        <v>98</v>
      </c>
      <c r="F26" s="2" t="s">
        <v>41</v>
      </c>
      <c r="G26" s="2" t="s">
        <v>99</v>
      </c>
      <c r="H26" s="2" t="s">
        <v>31</v>
      </c>
      <c r="I26" s="6" t="s">
        <v>82</v>
      </c>
      <c r="J26" s="2" t="s">
        <v>171</v>
      </c>
      <c r="K26" s="2" t="s">
        <v>172</v>
      </c>
      <c r="L26" s="2" t="s">
        <v>35</v>
      </c>
      <c r="M26" s="4">
        <v>35318</v>
      </c>
      <c r="N26" s="4">
        <v>42716</v>
      </c>
      <c r="O26" s="4">
        <v>44416</v>
      </c>
      <c r="P26" s="2">
        <f t="shared" ca="1" si="0"/>
        <v>29</v>
      </c>
      <c r="Q26" s="5">
        <f t="shared" ca="1" si="1"/>
        <v>9.6</v>
      </c>
      <c r="R26" s="5">
        <f t="shared" ca="1" si="2"/>
        <v>4.9000000000000004</v>
      </c>
      <c r="S26" s="2" t="s">
        <v>123</v>
      </c>
    </row>
    <row r="27" spans="1:19" x14ac:dyDescent="0.3">
      <c r="A27" s="2" t="s">
        <v>90</v>
      </c>
      <c r="B27" s="2" t="s">
        <v>173</v>
      </c>
      <c r="C27" s="2" t="s">
        <v>174</v>
      </c>
      <c r="D27" s="2" t="s">
        <v>50</v>
      </c>
      <c r="E27" s="2" t="s">
        <v>28</v>
      </c>
      <c r="F27" s="2" t="s">
        <v>72</v>
      </c>
      <c r="G27" s="2" t="s">
        <v>99</v>
      </c>
      <c r="H27" s="2" t="s">
        <v>100</v>
      </c>
      <c r="I27" s="6" t="s">
        <v>101</v>
      </c>
      <c r="J27" s="2" t="s">
        <v>155</v>
      </c>
      <c r="K27" s="2" t="s">
        <v>175</v>
      </c>
      <c r="L27" s="2" t="s">
        <v>65</v>
      </c>
      <c r="M27" s="4">
        <v>27158</v>
      </c>
      <c r="N27" s="4">
        <v>46015</v>
      </c>
      <c r="O27" s="4">
        <v>46015</v>
      </c>
      <c r="P27" s="2">
        <f t="shared" ca="1" si="0"/>
        <v>52</v>
      </c>
      <c r="Q27" s="5">
        <f t="shared" ca="1" si="1"/>
        <v>0.6</v>
      </c>
      <c r="R27" s="5">
        <f t="shared" ca="1" si="2"/>
        <v>0.6</v>
      </c>
      <c r="S27" s="2" t="s">
        <v>47</v>
      </c>
    </row>
    <row r="28" spans="1:19" x14ac:dyDescent="0.3">
      <c r="A28" s="2" t="s">
        <v>37</v>
      </c>
      <c r="B28" s="2" t="s">
        <v>176</v>
      </c>
      <c r="C28" s="2" t="s">
        <v>177</v>
      </c>
      <c r="D28" s="2" t="s">
        <v>50</v>
      </c>
      <c r="E28" s="2" t="s">
        <v>178</v>
      </c>
      <c r="F28" s="2" t="s">
        <v>81</v>
      </c>
      <c r="G28" s="2" t="s">
        <v>30</v>
      </c>
      <c r="H28" s="2" t="s">
        <v>179</v>
      </c>
      <c r="I28" s="6" t="s">
        <v>180</v>
      </c>
      <c r="J28" s="2" t="s">
        <v>88</v>
      </c>
      <c r="K28" s="2" t="s">
        <v>181</v>
      </c>
      <c r="L28" s="2" t="s">
        <v>46</v>
      </c>
      <c r="M28" s="4">
        <v>36939</v>
      </c>
      <c r="N28" s="4">
        <v>42269</v>
      </c>
      <c r="O28" s="4">
        <v>45142</v>
      </c>
      <c r="P28" s="2">
        <f t="shared" ca="1" si="0"/>
        <v>25</v>
      </c>
      <c r="Q28" s="5">
        <f t="shared" ca="1" si="1"/>
        <v>10.8</v>
      </c>
      <c r="R28" s="5">
        <f t="shared" ca="1" si="2"/>
        <v>2.9</v>
      </c>
      <c r="S28" s="2" t="s">
        <v>104</v>
      </c>
    </row>
    <row r="29" spans="1:19" x14ac:dyDescent="0.3">
      <c r="A29" s="2"/>
      <c r="B29" s="2" t="s">
        <v>182</v>
      </c>
      <c r="C29" s="2" t="s">
        <v>183</v>
      </c>
      <c r="D29" s="2" t="s">
        <v>27</v>
      </c>
      <c r="E29" s="2" t="s">
        <v>80</v>
      </c>
      <c r="F29" s="2" t="s">
        <v>72</v>
      </c>
      <c r="G29" s="2" t="s">
        <v>30</v>
      </c>
      <c r="H29" s="2" t="s">
        <v>179</v>
      </c>
      <c r="I29" s="6" t="s">
        <v>180</v>
      </c>
      <c r="J29" s="2" t="s">
        <v>184</v>
      </c>
      <c r="K29" s="2" t="s">
        <v>185</v>
      </c>
      <c r="L29" s="2" t="s">
        <v>46</v>
      </c>
      <c r="M29" s="4">
        <v>27752</v>
      </c>
      <c r="N29" s="4">
        <v>40573</v>
      </c>
      <c r="O29" s="4">
        <v>42327</v>
      </c>
      <c r="P29" s="2">
        <f t="shared" ca="1" si="0"/>
        <v>50</v>
      </c>
      <c r="Q29" s="5">
        <f t="shared" ca="1" si="1"/>
        <v>15.4</v>
      </c>
      <c r="R29" s="5">
        <f t="shared" ca="1" si="2"/>
        <v>10.7</v>
      </c>
      <c r="S29" s="2" t="s">
        <v>104</v>
      </c>
    </row>
    <row r="30" spans="1:19" x14ac:dyDescent="0.3">
      <c r="A30" s="2" t="s">
        <v>105</v>
      </c>
      <c r="B30" s="2" t="s">
        <v>186</v>
      </c>
      <c r="C30" s="2" t="s">
        <v>187</v>
      </c>
      <c r="D30" s="2" t="s">
        <v>50</v>
      </c>
      <c r="E30" s="2" t="s">
        <v>60</v>
      </c>
      <c r="F30" s="2" t="s">
        <v>126</v>
      </c>
      <c r="G30" s="2" t="s">
        <v>93</v>
      </c>
      <c r="H30" s="2" t="s">
        <v>52</v>
      </c>
      <c r="I30" s="6" t="s">
        <v>53</v>
      </c>
      <c r="J30" s="2" t="s">
        <v>145</v>
      </c>
      <c r="K30" s="2" t="s">
        <v>188</v>
      </c>
      <c r="L30" s="2" t="s">
        <v>35</v>
      </c>
      <c r="M30" s="4">
        <v>35968</v>
      </c>
      <c r="N30" s="4">
        <v>40839</v>
      </c>
      <c r="O30" s="4">
        <v>44060</v>
      </c>
      <c r="P30" s="2">
        <f t="shared" ca="1" si="0"/>
        <v>28</v>
      </c>
      <c r="Q30" s="5">
        <f t="shared" ca="1" si="1"/>
        <v>14.8</v>
      </c>
      <c r="R30" s="5">
        <f t="shared" ca="1" si="2"/>
        <v>5.9</v>
      </c>
      <c r="S30" s="2" t="s">
        <v>123</v>
      </c>
    </row>
    <row r="31" spans="1:19" x14ac:dyDescent="0.3">
      <c r="A31" s="2" t="s">
        <v>37</v>
      </c>
      <c r="B31" s="2" t="s">
        <v>189</v>
      </c>
      <c r="C31" s="2" t="s">
        <v>190</v>
      </c>
      <c r="D31" s="2" t="s">
        <v>27</v>
      </c>
      <c r="E31" s="2" t="s">
        <v>80</v>
      </c>
      <c r="F31" s="2" t="s">
        <v>29</v>
      </c>
      <c r="G31" s="2" t="s">
        <v>73</v>
      </c>
      <c r="H31" s="2" t="s">
        <v>42</v>
      </c>
      <c r="I31" s="3" t="s">
        <v>43</v>
      </c>
      <c r="J31" s="2" t="s">
        <v>76</v>
      </c>
      <c r="K31" s="2" t="s">
        <v>191</v>
      </c>
      <c r="L31" s="2" t="s">
        <v>46</v>
      </c>
      <c r="M31" s="4">
        <v>32892</v>
      </c>
      <c r="N31" s="4">
        <v>42264</v>
      </c>
      <c r="O31" s="4">
        <v>44682</v>
      </c>
      <c r="P31" s="2">
        <f t="shared" ca="1" si="0"/>
        <v>36</v>
      </c>
      <c r="Q31" s="5">
        <f t="shared" ca="1" si="1"/>
        <v>10.8</v>
      </c>
      <c r="R31" s="5">
        <f t="shared" ca="1" si="2"/>
        <v>4.2</v>
      </c>
      <c r="S31" s="2" t="s">
        <v>104</v>
      </c>
    </row>
    <row r="32" spans="1:19" x14ac:dyDescent="0.3">
      <c r="A32" s="2" t="s">
        <v>105</v>
      </c>
      <c r="B32" s="2" t="s">
        <v>192</v>
      </c>
      <c r="C32" s="2" t="s">
        <v>193</v>
      </c>
      <c r="D32" s="2" t="s">
        <v>50</v>
      </c>
      <c r="E32" s="2" t="s">
        <v>131</v>
      </c>
      <c r="F32" s="2" t="s">
        <v>72</v>
      </c>
      <c r="G32" s="2" t="s">
        <v>51</v>
      </c>
      <c r="H32" s="2" t="s">
        <v>52</v>
      </c>
      <c r="I32" s="6" t="s">
        <v>53</v>
      </c>
      <c r="J32" s="2" t="s">
        <v>194</v>
      </c>
      <c r="K32" s="2" t="s">
        <v>195</v>
      </c>
      <c r="L32" s="2" t="s">
        <v>46</v>
      </c>
      <c r="M32" s="4">
        <v>29930</v>
      </c>
      <c r="N32" s="4">
        <v>43921</v>
      </c>
      <c r="O32" s="4">
        <v>44705</v>
      </c>
      <c r="P32" s="2">
        <f t="shared" ca="1" si="0"/>
        <v>44</v>
      </c>
      <c r="Q32" s="5">
        <f t="shared" ca="1" si="1"/>
        <v>6.3</v>
      </c>
      <c r="R32" s="5">
        <f t="shared" ca="1" si="2"/>
        <v>4.2</v>
      </c>
      <c r="S32" s="2" t="s">
        <v>66</v>
      </c>
    </row>
    <row r="33" spans="1:19" x14ac:dyDescent="0.3">
      <c r="A33" s="2" t="s">
        <v>67</v>
      </c>
      <c r="B33" s="2" t="s">
        <v>196</v>
      </c>
      <c r="C33" s="2" t="s">
        <v>197</v>
      </c>
      <c r="D33" s="2" t="s">
        <v>27</v>
      </c>
      <c r="E33" s="2" t="s">
        <v>117</v>
      </c>
      <c r="F33" s="2" t="s">
        <v>72</v>
      </c>
      <c r="G33" s="2" t="s">
        <v>73</v>
      </c>
      <c r="H33" s="2" t="s">
        <v>61</v>
      </c>
      <c r="I33" s="6" t="s">
        <v>62</v>
      </c>
      <c r="J33" s="2" t="s">
        <v>76</v>
      </c>
      <c r="K33" s="2" t="s">
        <v>198</v>
      </c>
      <c r="L33" s="2" t="s">
        <v>65</v>
      </c>
      <c r="M33" s="4">
        <v>27664</v>
      </c>
      <c r="N33" s="4">
        <v>44399</v>
      </c>
      <c r="O33" s="4">
        <v>45262</v>
      </c>
      <c r="P33" s="2">
        <f t="shared" ca="1" si="0"/>
        <v>50</v>
      </c>
      <c r="Q33" s="5">
        <f t="shared" ca="1" si="1"/>
        <v>5</v>
      </c>
      <c r="R33" s="5">
        <f t="shared" ca="1" si="2"/>
        <v>2.6</v>
      </c>
      <c r="S33" s="2" t="s">
        <v>123</v>
      </c>
    </row>
    <row r="34" spans="1:19" x14ac:dyDescent="0.3">
      <c r="A34" s="2" t="s">
        <v>37</v>
      </c>
      <c r="B34" s="2" t="s">
        <v>199</v>
      </c>
      <c r="C34" s="2" t="s">
        <v>200</v>
      </c>
      <c r="D34" s="2" t="s">
        <v>27</v>
      </c>
      <c r="E34" s="2" t="s">
        <v>40</v>
      </c>
      <c r="F34" s="2" t="s">
        <v>81</v>
      </c>
      <c r="G34" s="2" t="s">
        <v>51</v>
      </c>
      <c r="H34" s="2" t="s">
        <v>74</v>
      </c>
      <c r="I34" s="3" t="s">
        <v>32</v>
      </c>
      <c r="J34" s="2" t="s">
        <v>201</v>
      </c>
      <c r="K34" s="2" t="s">
        <v>202</v>
      </c>
      <c r="L34" s="2" t="s">
        <v>35</v>
      </c>
      <c r="M34" s="4">
        <v>31603</v>
      </c>
      <c r="N34" s="4">
        <v>43420</v>
      </c>
      <c r="O34" s="4">
        <v>45776</v>
      </c>
      <c r="P34" s="2">
        <f t="shared" ref="P34:P51" ca="1" si="3">DATEDIF(M34,TODAY(),"Y")</f>
        <v>40</v>
      </c>
      <c r="Q34" s="5">
        <f t="shared" ref="Q34:Q51" ca="1" si="4">ROUND(DATEDIF(N34,TODAY(),"M")/12,1)</f>
        <v>7.7</v>
      </c>
      <c r="R34" s="5">
        <f t="shared" ref="R34:R51" ca="1" si="5">ROUND(DATEDIF(O34,TODAY(),"M")/12,1)</f>
        <v>1.3</v>
      </c>
      <c r="S34" s="2" t="s">
        <v>36</v>
      </c>
    </row>
    <row r="35" spans="1:19" x14ac:dyDescent="0.3">
      <c r="A35" s="2"/>
      <c r="B35" s="2" t="s">
        <v>203</v>
      </c>
      <c r="C35" s="2" t="s">
        <v>204</v>
      </c>
      <c r="D35" s="2" t="s">
        <v>27</v>
      </c>
      <c r="E35" s="2" t="s">
        <v>40</v>
      </c>
      <c r="F35" s="2" t="s">
        <v>126</v>
      </c>
      <c r="G35" s="2" t="s">
        <v>73</v>
      </c>
      <c r="H35" s="2" t="s">
        <v>74</v>
      </c>
      <c r="I35" s="3" t="s">
        <v>75</v>
      </c>
      <c r="J35" s="2" t="s">
        <v>205</v>
      </c>
      <c r="K35" s="2" t="s">
        <v>206</v>
      </c>
      <c r="L35" s="2" t="s">
        <v>65</v>
      </c>
      <c r="M35" s="4">
        <v>36804</v>
      </c>
      <c r="N35" s="4">
        <v>44103</v>
      </c>
      <c r="O35" s="4">
        <v>45452</v>
      </c>
      <c r="P35" s="2">
        <f t="shared" ca="1" si="3"/>
        <v>25</v>
      </c>
      <c r="Q35" s="5">
        <f t="shared" ca="1" si="4"/>
        <v>5.8</v>
      </c>
      <c r="R35" s="5">
        <f t="shared" ca="1" si="5"/>
        <v>2.1</v>
      </c>
      <c r="S35" s="2" t="s">
        <v>104</v>
      </c>
    </row>
    <row r="36" spans="1:19" x14ac:dyDescent="0.3">
      <c r="A36" s="2" t="s">
        <v>105</v>
      </c>
      <c r="B36" s="2" t="s">
        <v>405</v>
      </c>
      <c r="C36" s="2" t="s">
        <v>207</v>
      </c>
      <c r="D36" s="2" t="s">
        <v>27</v>
      </c>
      <c r="E36" s="2" t="s">
        <v>131</v>
      </c>
      <c r="F36" s="2" t="s">
        <v>81</v>
      </c>
      <c r="G36" s="2" t="s">
        <v>51</v>
      </c>
      <c r="H36" s="2" t="s">
        <v>42</v>
      </c>
      <c r="I36" s="3" t="s">
        <v>43</v>
      </c>
      <c r="J36" s="2" t="s">
        <v>208</v>
      </c>
      <c r="K36" s="2" t="s">
        <v>209</v>
      </c>
      <c r="L36" s="2" t="s">
        <v>35</v>
      </c>
      <c r="M36" s="4">
        <v>35548</v>
      </c>
      <c r="N36" s="4">
        <v>44954</v>
      </c>
      <c r="O36" s="4">
        <v>44954</v>
      </c>
      <c r="P36" s="2">
        <f t="shared" ca="1" si="3"/>
        <v>29</v>
      </c>
      <c r="Q36" s="5">
        <f t="shared" ca="1" si="4"/>
        <v>3.5</v>
      </c>
      <c r="R36" s="5">
        <f t="shared" ca="1" si="5"/>
        <v>3.5</v>
      </c>
      <c r="S36" s="2" t="s">
        <v>104</v>
      </c>
    </row>
    <row r="37" spans="1:19" x14ac:dyDescent="0.3">
      <c r="A37" s="2" t="s">
        <v>37</v>
      </c>
      <c r="B37" s="2" t="s">
        <v>210</v>
      </c>
      <c r="C37" s="2" t="s">
        <v>211</v>
      </c>
      <c r="D37" s="2" t="s">
        <v>50</v>
      </c>
      <c r="E37" s="2" t="s">
        <v>40</v>
      </c>
      <c r="F37" s="2" t="s">
        <v>72</v>
      </c>
      <c r="G37" s="2" t="s">
        <v>73</v>
      </c>
      <c r="H37" s="2" t="s">
        <v>74</v>
      </c>
      <c r="I37" s="3" t="s">
        <v>75</v>
      </c>
      <c r="J37" s="2" t="s">
        <v>135</v>
      </c>
      <c r="K37" s="2" t="s">
        <v>212</v>
      </c>
      <c r="L37" s="2" t="s">
        <v>46</v>
      </c>
      <c r="M37" s="4">
        <v>31950</v>
      </c>
      <c r="N37" s="4">
        <v>44698</v>
      </c>
      <c r="O37" s="4">
        <v>46013</v>
      </c>
      <c r="P37" s="2">
        <f t="shared" ca="1" si="3"/>
        <v>39</v>
      </c>
      <c r="Q37" s="5">
        <f t="shared" ca="1" si="4"/>
        <v>4.2</v>
      </c>
      <c r="R37" s="5">
        <f t="shared" ca="1" si="5"/>
        <v>0.6</v>
      </c>
      <c r="S37" s="2" t="s">
        <v>47</v>
      </c>
    </row>
    <row r="38" spans="1:19" x14ac:dyDescent="0.3">
      <c r="A38" s="2" t="s">
        <v>105</v>
      </c>
      <c r="B38" s="2" t="s">
        <v>213</v>
      </c>
      <c r="C38" s="2" t="s">
        <v>138</v>
      </c>
      <c r="D38" s="2" t="s">
        <v>27</v>
      </c>
      <c r="E38" s="2" t="s">
        <v>28</v>
      </c>
      <c r="F38" s="2" t="s">
        <v>150</v>
      </c>
      <c r="G38" s="2" t="s">
        <v>51</v>
      </c>
      <c r="H38" s="2" t="s">
        <v>52</v>
      </c>
      <c r="I38" s="6" t="s">
        <v>53</v>
      </c>
      <c r="J38" s="2" t="s">
        <v>118</v>
      </c>
      <c r="K38" s="2" t="s">
        <v>214</v>
      </c>
      <c r="L38" s="2" t="s">
        <v>35</v>
      </c>
      <c r="M38" s="4">
        <v>37114</v>
      </c>
      <c r="N38" s="4">
        <v>45206</v>
      </c>
      <c r="O38" s="4">
        <v>46029</v>
      </c>
      <c r="P38" s="2">
        <f t="shared" ca="1" si="3"/>
        <v>24</v>
      </c>
      <c r="Q38" s="5">
        <f t="shared" ca="1" si="4"/>
        <v>2.8</v>
      </c>
      <c r="R38" s="5">
        <f t="shared" ca="1" si="5"/>
        <v>0.5</v>
      </c>
      <c r="S38" s="2" t="s">
        <v>47</v>
      </c>
    </row>
    <row r="39" spans="1:19" x14ac:dyDescent="0.3">
      <c r="A39" s="2" t="s">
        <v>67</v>
      </c>
      <c r="B39" s="2" t="s">
        <v>406</v>
      </c>
      <c r="C39" s="2" t="s">
        <v>113</v>
      </c>
      <c r="D39" s="2" t="s">
        <v>50</v>
      </c>
      <c r="E39" s="2" t="s">
        <v>28</v>
      </c>
      <c r="F39" s="2" t="s">
        <v>162</v>
      </c>
      <c r="G39" s="2" t="s">
        <v>93</v>
      </c>
      <c r="H39" s="2" t="s">
        <v>86</v>
      </c>
      <c r="I39" s="3" t="s">
        <v>43</v>
      </c>
      <c r="J39" s="2" t="s">
        <v>145</v>
      </c>
      <c r="K39" s="2" t="s">
        <v>215</v>
      </c>
      <c r="L39" s="2" t="s">
        <v>46</v>
      </c>
      <c r="M39" s="4">
        <v>34648</v>
      </c>
      <c r="N39" s="4">
        <v>44163</v>
      </c>
      <c r="O39" s="4">
        <v>45505</v>
      </c>
      <c r="P39" s="2">
        <f t="shared" ca="1" si="3"/>
        <v>31</v>
      </c>
      <c r="Q39" s="5">
        <f t="shared" ca="1" si="4"/>
        <v>5.7</v>
      </c>
      <c r="R39" s="5">
        <f t="shared" ca="1" si="5"/>
        <v>1.9</v>
      </c>
      <c r="S39" s="2" t="s">
        <v>36</v>
      </c>
    </row>
    <row r="40" spans="1:19" x14ac:dyDescent="0.3">
      <c r="A40" s="2"/>
      <c r="B40" s="2" t="s">
        <v>216</v>
      </c>
      <c r="C40" s="2" t="s">
        <v>217</v>
      </c>
      <c r="D40" s="2" t="s">
        <v>50</v>
      </c>
      <c r="E40" s="2" t="s">
        <v>71</v>
      </c>
      <c r="F40" s="2" t="s">
        <v>29</v>
      </c>
      <c r="G40" s="2" t="s">
        <v>99</v>
      </c>
      <c r="H40" s="2" t="s">
        <v>74</v>
      </c>
      <c r="I40" s="3" t="s">
        <v>75</v>
      </c>
      <c r="J40" s="2" t="s">
        <v>155</v>
      </c>
      <c r="K40" s="2" t="s">
        <v>218</v>
      </c>
      <c r="L40" s="2" t="s">
        <v>65</v>
      </c>
      <c r="M40" s="4">
        <v>30878</v>
      </c>
      <c r="N40" s="4">
        <v>43086</v>
      </c>
      <c r="O40" s="4">
        <v>44361</v>
      </c>
      <c r="P40" s="2">
        <f t="shared" ca="1" si="3"/>
        <v>42</v>
      </c>
      <c r="Q40" s="5">
        <f t="shared" ca="1" si="4"/>
        <v>8.6</v>
      </c>
      <c r="R40" s="5">
        <f t="shared" ca="1" si="5"/>
        <v>5.0999999999999996</v>
      </c>
      <c r="S40" s="2" t="s">
        <v>104</v>
      </c>
    </row>
    <row r="41" spans="1:19" x14ac:dyDescent="0.3">
      <c r="A41" s="2" t="s">
        <v>105</v>
      </c>
      <c r="B41" s="2" t="s">
        <v>219</v>
      </c>
      <c r="C41" s="2" t="s">
        <v>220</v>
      </c>
      <c r="D41" s="2" t="s">
        <v>27</v>
      </c>
      <c r="E41" s="2" t="s">
        <v>178</v>
      </c>
      <c r="F41" s="2" t="s">
        <v>41</v>
      </c>
      <c r="G41" s="2" t="s">
        <v>30</v>
      </c>
      <c r="H41" s="2" t="s">
        <v>221</v>
      </c>
      <c r="I41" s="6" t="s">
        <v>222</v>
      </c>
      <c r="J41" s="2" t="s">
        <v>63</v>
      </c>
      <c r="K41" s="2" t="s">
        <v>223</v>
      </c>
      <c r="L41" s="2" t="s">
        <v>65</v>
      </c>
      <c r="M41" s="4">
        <v>30215</v>
      </c>
      <c r="N41" s="4">
        <v>43689</v>
      </c>
      <c r="O41" s="4">
        <v>45519</v>
      </c>
      <c r="P41" s="2">
        <f t="shared" ca="1" si="3"/>
        <v>43</v>
      </c>
      <c r="Q41" s="5">
        <f t="shared" ca="1" si="4"/>
        <v>6.9</v>
      </c>
      <c r="R41" s="5">
        <f t="shared" ca="1" si="5"/>
        <v>1.9</v>
      </c>
      <c r="S41" s="2" t="s">
        <v>104</v>
      </c>
    </row>
    <row r="42" spans="1:19" x14ac:dyDescent="0.3">
      <c r="A42" s="2" t="s">
        <v>67</v>
      </c>
      <c r="B42" s="2" t="s">
        <v>407</v>
      </c>
      <c r="C42" s="2" t="s">
        <v>224</v>
      </c>
      <c r="D42" s="2" t="s">
        <v>50</v>
      </c>
      <c r="E42" s="2" t="s">
        <v>117</v>
      </c>
      <c r="F42" s="2" t="s">
        <v>41</v>
      </c>
      <c r="G42" s="2" t="s">
        <v>51</v>
      </c>
      <c r="H42" s="2" t="s">
        <v>112</v>
      </c>
      <c r="I42" s="3" t="s">
        <v>113</v>
      </c>
      <c r="J42" s="2" t="s">
        <v>194</v>
      </c>
      <c r="K42" s="2" t="s">
        <v>225</v>
      </c>
      <c r="L42" s="2" t="s">
        <v>46</v>
      </c>
      <c r="M42" s="4">
        <v>27852</v>
      </c>
      <c r="N42" s="4">
        <v>45110</v>
      </c>
      <c r="O42" s="4">
        <v>45744</v>
      </c>
      <c r="P42" s="2">
        <f t="shared" ca="1" si="3"/>
        <v>50</v>
      </c>
      <c r="Q42" s="5">
        <f t="shared" ca="1" si="4"/>
        <v>3</v>
      </c>
      <c r="R42" s="5">
        <f t="shared" ca="1" si="5"/>
        <v>1.3</v>
      </c>
      <c r="S42" s="2" t="s">
        <v>56</v>
      </c>
    </row>
    <row r="43" spans="1:19" x14ac:dyDescent="0.3">
      <c r="A43" s="2" t="s">
        <v>105</v>
      </c>
      <c r="B43" s="2" t="s">
        <v>226</v>
      </c>
      <c r="C43" s="2" t="s">
        <v>227</v>
      </c>
      <c r="D43" s="2" t="s">
        <v>27</v>
      </c>
      <c r="E43" s="2" t="s">
        <v>117</v>
      </c>
      <c r="F43" s="2" t="s">
        <v>41</v>
      </c>
      <c r="G43" s="2" t="s">
        <v>99</v>
      </c>
      <c r="H43" s="2" t="s">
        <v>112</v>
      </c>
      <c r="I43" s="3" t="s">
        <v>32</v>
      </c>
      <c r="J43" s="2" t="s">
        <v>127</v>
      </c>
      <c r="K43" s="2" t="s">
        <v>228</v>
      </c>
      <c r="L43" s="2" t="s">
        <v>35</v>
      </c>
      <c r="M43" s="4">
        <v>37067</v>
      </c>
      <c r="N43" s="4">
        <v>44679</v>
      </c>
      <c r="O43" s="4">
        <v>46113</v>
      </c>
      <c r="P43" s="2">
        <f t="shared" ca="1" si="3"/>
        <v>25</v>
      </c>
      <c r="Q43" s="5">
        <f t="shared" ca="1" si="4"/>
        <v>4.3</v>
      </c>
      <c r="R43" s="5">
        <f t="shared" ca="1" si="5"/>
        <v>0.3</v>
      </c>
      <c r="S43" s="2" t="s">
        <v>47</v>
      </c>
    </row>
    <row r="44" spans="1:19" x14ac:dyDescent="0.3">
      <c r="A44" s="2" t="s">
        <v>67</v>
      </c>
      <c r="B44" s="2" t="s">
        <v>229</v>
      </c>
      <c r="C44" s="2" t="s">
        <v>230</v>
      </c>
      <c r="D44" s="2" t="s">
        <v>50</v>
      </c>
      <c r="E44" s="2" t="s">
        <v>149</v>
      </c>
      <c r="F44" s="2" t="s">
        <v>41</v>
      </c>
      <c r="G44" s="2" t="s">
        <v>73</v>
      </c>
      <c r="H44" s="2" t="s">
        <v>31</v>
      </c>
      <c r="I44" s="6" t="s">
        <v>82</v>
      </c>
      <c r="J44" s="2" t="s">
        <v>76</v>
      </c>
      <c r="K44" s="2" t="s">
        <v>231</v>
      </c>
      <c r="L44" s="2" t="s">
        <v>35</v>
      </c>
      <c r="M44" s="4">
        <v>31529</v>
      </c>
      <c r="N44" s="4">
        <v>44147</v>
      </c>
      <c r="O44" s="4">
        <v>45766</v>
      </c>
      <c r="P44" s="2">
        <f t="shared" ca="1" si="3"/>
        <v>40</v>
      </c>
      <c r="Q44" s="5">
        <f t="shared" ca="1" si="4"/>
        <v>5.7</v>
      </c>
      <c r="R44" s="5">
        <f t="shared" ca="1" si="5"/>
        <v>1.3</v>
      </c>
      <c r="S44" s="2" t="s">
        <v>47</v>
      </c>
    </row>
    <row r="45" spans="1:19" x14ac:dyDescent="0.3">
      <c r="A45" s="2" t="s">
        <v>105</v>
      </c>
      <c r="B45" s="2" t="s">
        <v>232</v>
      </c>
      <c r="C45" s="2" t="s">
        <v>233</v>
      </c>
      <c r="D45" s="2" t="s">
        <v>27</v>
      </c>
      <c r="E45" s="2" t="s">
        <v>234</v>
      </c>
      <c r="F45" s="2" t="s">
        <v>126</v>
      </c>
      <c r="G45" s="2" t="s">
        <v>30</v>
      </c>
      <c r="H45" s="2" t="s">
        <v>52</v>
      </c>
      <c r="I45" s="3" t="s">
        <v>32</v>
      </c>
      <c r="J45" s="2" t="s">
        <v>44</v>
      </c>
      <c r="K45" s="2" t="s">
        <v>235</v>
      </c>
      <c r="L45" s="2" t="s">
        <v>35</v>
      </c>
      <c r="M45" s="4">
        <v>30535</v>
      </c>
      <c r="N45" s="4">
        <v>41070</v>
      </c>
      <c r="O45" s="4">
        <v>45258</v>
      </c>
      <c r="P45" s="2">
        <f t="shared" ca="1" si="3"/>
        <v>42</v>
      </c>
      <c r="Q45" s="5">
        <f t="shared" ca="1" si="4"/>
        <v>14.1</v>
      </c>
      <c r="R45" s="5">
        <f t="shared" ca="1" si="5"/>
        <v>2.7</v>
      </c>
      <c r="S45" s="2" t="s">
        <v>36</v>
      </c>
    </row>
    <row r="46" spans="1:19" x14ac:dyDescent="0.3">
      <c r="A46" s="2" t="s">
        <v>67</v>
      </c>
      <c r="B46" s="2" t="s">
        <v>236</v>
      </c>
      <c r="C46" s="2" t="s">
        <v>237</v>
      </c>
      <c r="D46" s="2" t="s">
        <v>27</v>
      </c>
      <c r="E46" s="2" t="s">
        <v>234</v>
      </c>
      <c r="F46" s="2" t="s">
        <v>72</v>
      </c>
      <c r="G46" s="2" t="s">
        <v>93</v>
      </c>
      <c r="H46" s="2" t="s">
        <v>42</v>
      </c>
      <c r="I46" s="3" t="s">
        <v>43</v>
      </c>
      <c r="J46" s="2" t="s">
        <v>151</v>
      </c>
      <c r="K46" s="2" t="s">
        <v>238</v>
      </c>
      <c r="L46" s="2" t="s">
        <v>35</v>
      </c>
      <c r="M46" s="4">
        <v>36462</v>
      </c>
      <c r="N46" s="4">
        <v>43660</v>
      </c>
      <c r="O46" s="4">
        <v>44648</v>
      </c>
      <c r="P46" s="2">
        <f t="shared" ca="1" si="3"/>
        <v>26</v>
      </c>
      <c r="Q46" s="5">
        <f t="shared" ca="1" si="4"/>
        <v>7</v>
      </c>
      <c r="R46" s="5">
        <f t="shared" ca="1" si="5"/>
        <v>4.3</v>
      </c>
      <c r="S46" s="2" t="s">
        <v>56</v>
      </c>
    </row>
    <row r="47" spans="1:19" x14ac:dyDescent="0.3">
      <c r="A47" s="2" t="s">
        <v>24</v>
      </c>
      <c r="B47" s="2" t="s">
        <v>239</v>
      </c>
      <c r="C47" s="2" t="s">
        <v>240</v>
      </c>
      <c r="D47" s="2" t="s">
        <v>50</v>
      </c>
      <c r="E47" s="2" t="s">
        <v>108</v>
      </c>
      <c r="F47" s="2" t="s">
        <v>162</v>
      </c>
      <c r="G47" s="2" t="s">
        <v>99</v>
      </c>
      <c r="H47" s="2" t="s">
        <v>112</v>
      </c>
      <c r="I47" s="3" t="s">
        <v>113</v>
      </c>
      <c r="J47" s="2" t="s">
        <v>171</v>
      </c>
      <c r="K47" s="2" t="s">
        <v>241</v>
      </c>
      <c r="L47" s="2" t="s">
        <v>46</v>
      </c>
      <c r="M47" s="4">
        <v>30625</v>
      </c>
      <c r="N47" s="4">
        <v>42779</v>
      </c>
      <c r="O47" s="4">
        <v>45660</v>
      </c>
      <c r="P47" s="2">
        <f t="shared" ca="1" si="3"/>
        <v>42</v>
      </c>
      <c r="Q47" s="5">
        <f t="shared" ca="1" si="4"/>
        <v>9.4</v>
      </c>
      <c r="R47" s="5">
        <f t="shared" ca="1" si="5"/>
        <v>1.5</v>
      </c>
      <c r="S47" s="2" t="s">
        <v>66</v>
      </c>
    </row>
    <row r="48" spans="1:19" x14ac:dyDescent="0.3">
      <c r="A48" s="2" t="s">
        <v>90</v>
      </c>
      <c r="B48" s="2" t="s">
        <v>242</v>
      </c>
      <c r="C48" s="2" t="s">
        <v>243</v>
      </c>
      <c r="D48" s="2" t="s">
        <v>50</v>
      </c>
      <c r="E48" s="2" t="s">
        <v>80</v>
      </c>
      <c r="F48" s="2" t="s">
        <v>29</v>
      </c>
      <c r="G48" s="2" t="s">
        <v>51</v>
      </c>
      <c r="H48" s="2" t="s">
        <v>221</v>
      </c>
      <c r="I48" s="6" t="s">
        <v>222</v>
      </c>
      <c r="J48" s="2" t="s">
        <v>118</v>
      </c>
      <c r="K48" s="2" t="s">
        <v>244</v>
      </c>
      <c r="L48" s="2" t="s">
        <v>46</v>
      </c>
      <c r="M48" s="4">
        <v>35781</v>
      </c>
      <c r="N48" s="4">
        <v>40764</v>
      </c>
      <c r="O48" s="4">
        <v>46193</v>
      </c>
      <c r="P48" s="2">
        <f t="shared" ca="1" si="3"/>
        <v>28</v>
      </c>
      <c r="Q48" s="5">
        <f t="shared" ca="1" si="4"/>
        <v>14.9</v>
      </c>
      <c r="R48" s="5">
        <f t="shared" ca="1" si="5"/>
        <v>0.1</v>
      </c>
      <c r="S48" s="2" t="s">
        <v>104</v>
      </c>
    </row>
    <row r="49" spans="1:19" x14ac:dyDescent="0.3">
      <c r="A49" s="2" t="s">
        <v>67</v>
      </c>
      <c r="B49" s="2" t="s">
        <v>245</v>
      </c>
      <c r="C49" s="2" t="s">
        <v>246</v>
      </c>
      <c r="D49" s="2" t="s">
        <v>27</v>
      </c>
      <c r="E49" s="2" t="s">
        <v>40</v>
      </c>
      <c r="F49" s="2" t="s">
        <v>72</v>
      </c>
      <c r="G49" s="2" t="s">
        <v>93</v>
      </c>
      <c r="H49" s="2" t="s">
        <v>86</v>
      </c>
      <c r="I49" s="6" t="s">
        <v>87</v>
      </c>
      <c r="J49" s="2" t="s">
        <v>151</v>
      </c>
      <c r="K49" s="2" t="s">
        <v>247</v>
      </c>
      <c r="L49" s="2" t="s">
        <v>35</v>
      </c>
      <c r="M49" s="4">
        <v>30497</v>
      </c>
      <c r="N49" s="4">
        <v>44268</v>
      </c>
      <c r="O49" s="4">
        <v>45628</v>
      </c>
      <c r="P49" s="2">
        <f t="shared" ca="1" si="3"/>
        <v>43</v>
      </c>
      <c r="Q49" s="5">
        <f t="shared" ca="1" si="4"/>
        <v>5.3</v>
      </c>
      <c r="R49" s="5">
        <f t="shared" ca="1" si="5"/>
        <v>1.6</v>
      </c>
      <c r="S49" s="2" t="s">
        <v>36</v>
      </c>
    </row>
    <row r="50" spans="1:19" x14ac:dyDescent="0.3">
      <c r="A50" s="2" t="s">
        <v>90</v>
      </c>
      <c r="B50" s="2" t="s">
        <v>248</v>
      </c>
      <c r="C50" s="2" t="s">
        <v>249</v>
      </c>
      <c r="D50" s="2" t="s">
        <v>50</v>
      </c>
      <c r="E50" s="2" t="s">
        <v>178</v>
      </c>
      <c r="F50" s="2" t="s">
        <v>41</v>
      </c>
      <c r="G50" s="2" t="s">
        <v>30</v>
      </c>
      <c r="H50" s="2" t="s">
        <v>31</v>
      </c>
      <c r="I50" s="6" t="s">
        <v>82</v>
      </c>
      <c r="J50" s="2" t="s">
        <v>63</v>
      </c>
      <c r="K50" s="2" t="s">
        <v>250</v>
      </c>
      <c r="L50" s="2" t="s">
        <v>46</v>
      </c>
      <c r="M50" s="4">
        <v>28154</v>
      </c>
      <c r="N50" s="4">
        <v>45883</v>
      </c>
      <c r="O50" s="4">
        <v>45980</v>
      </c>
      <c r="P50" s="2">
        <f t="shared" ca="1" si="3"/>
        <v>49</v>
      </c>
      <c r="Q50" s="5">
        <f t="shared" ca="1" si="4"/>
        <v>0.9</v>
      </c>
      <c r="R50" s="5">
        <f t="shared" ca="1" si="5"/>
        <v>0.7</v>
      </c>
      <c r="S50" s="2" t="s">
        <v>123</v>
      </c>
    </row>
    <row r="51" spans="1:19" x14ac:dyDescent="0.3">
      <c r="A51" s="2" t="s">
        <v>67</v>
      </c>
      <c r="B51" s="2" t="s">
        <v>251</v>
      </c>
      <c r="C51" s="2" t="s">
        <v>252</v>
      </c>
      <c r="D51" s="2" t="s">
        <v>27</v>
      </c>
      <c r="E51" s="2" t="s">
        <v>71</v>
      </c>
      <c r="F51" s="2" t="s">
        <v>126</v>
      </c>
      <c r="G51" s="2" t="s">
        <v>51</v>
      </c>
      <c r="H51" s="2" t="s">
        <v>31</v>
      </c>
      <c r="I51" s="6" t="s">
        <v>82</v>
      </c>
      <c r="J51" s="2" t="s">
        <v>201</v>
      </c>
      <c r="K51" s="2" t="s">
        <v>253</v>
      </c>
      <c r="L51" s="2" t="s">
        <v>46</v>
      </c>
      <c r="M51" s="4">
        <v>34649</v>
      </c>
      <c r="N51" s="4">
        <v>42643</v>
      </c>
      <c r="O51" s="4">
        <v>44968</v>
      </c>
      <c r="P51" s="2">
        <f t="shared" ca="1" si="3"/>
        <v>31</v>
      </c>
      <c r="Q51" s="5">
        <f t="shared" ca="1" si="4"/>
        <v>9.8000000000000007</v>
      </c>
      <c r="R51" s="5">
        <f t="shared" ca="1" si="5"/>
        <v>3.4</v>
      </c>
      <c r="S51" s="2" t="s">
        <v>66</v>
      </c>
    </row>
  </sheetData>
  <phoneticPr fontId="6" type="noConversion"/>
  <dataValidations count="7">
    <dataValidation type="list" errorTitle="Invalid value" error="Please select a value from the defined list." sqref="A2:A51" xr:uid="{00000000-0002-0000-0000-000000000000}">
      <formula1>BranchList</formula1>
    </dataValidation>
    <dataValidation type="list" errorTitle="Invalid value" error="Please select a value from the defined list." sqref="D2:D51" xr:uid="{00000000-0002-0000-0000-000001000000}">
      <formula1>GenderList</formula1>
    </dataValidation>
    <dataValidation type="list" errorTitle="Invalid value" error="Please select a value from the defined list." sqref="E2:E51" xr:uid="{00000000-0002-0000-0000-000002000000}">
      <formula1>RoleList</formula1>
    </dataValidation>
    <dataValidation type="list" errorTitle="Invalid value" error="Please select a value from the defined list." sqref="F2:F51" xr:uid="{00000000-0002-0000-0000-000003000000}">
      <formula1>GradeList</formula1>
    </dataValidation>
    <dataValidation type="list" errorTitle="Invalid value" error="Please select a value from the defined list." sqref="G2:G51" xr:uid="{00000000-0002-0000-0000-000004000000}">
      <formula1>ClusterList</formula1>
    </dataValidation>
    <dataValidation type="list" errorTitle="Invalid value" error="Please select a value from the defined list." sqref="L2:L51" xr:uid="{00000000-0002-0000-0000-000005000000}">
      <formula1>CCMList</formula1>
    </dataValidation>
    <dataValidation type="list" errorTitle="Invalid value" error="Please select a value from the defined list." sqref="S2:S51" xr:uid="{00000000-0002-0000-0000-000006000000}">
      <formula1>SourceList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showGridLines="0" workbookViewId="0">
      <pane ySplit="1" topLeftCell="A41" activePane="bottomLeft" state="frozen"/>
      <selection pane="bottomLeft" activeCell="B3" sqref="B3:B51"/>
    </sheetView>
  </sheetViews>
  <sheetFormatPr defaultRowHeight="14.4" x14ac:dyDescent="0.3"/>
  <cols>
    <col min="1" max="1" width="14" customWidth="1"/>
    <col min="2" max="2" width="13" customWidth="1"/>
    <col min="3" max="3" width="22" customWidth="1"/>
    <col min="4" max="4" width="10" customWidth="1"/>
    <col min="5" max="5" width="28" customWidth="1"/>
    <col min="6" max="6" width="13" customWidth="1"/>
    <col min="7" max="7" width="10" customWidth="1"/>
    <col min="8" max="8" width="15" customWidth="1"/>
    <col min="9" max="9" width="22" customWidth="1"/>
    <col min="10" max="10" width="20" customWidth="1"/>
    <col min="11" max="11" width="14" customWidth="1"/>
    <col min="12" max="12" width="12" customWidth="1"/>
    <col min="13" max="14" width="14" customWidth="1"/>
    <col min="15" max="15" width="16" customWidth="1"/>
    <col min="16" max="16" width="8" customWidth="1"/>
    <col min="17" max="18" width="18" customWidth="1"/>
    <col min="19" max="19" width="20" customWidth="1"/>
  </cols>
  <sheetData>
    <row r="1" spans="1:19" ht="33" customHeigh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</row>
    <row r="2" spans="1:19" x14ac:dyDescent="0.3">
      <c r="A2" s="2" t="s">
        <v>37</v>
      </c>
      <c r="B2" s="2" t="s">
        <v>254</v>
      </c>
      <c r="C2" s="2" t="s">
        <v>252</v>
      </c>
      <c r="D2" s="2" t="s">
        <v>70</v>
      </c>
      <c r="E2" s="2" t="s">
        <v>40</v>
      </c>
      <c r="F2" s="2" t="s">
        <v>162</v>
      </c>
      <c r="G2" s="2" t="s">
        <v>51</v>
      </c>
      <c r="H2" s="2" t="s">
        <v>42</v>
      </c>
      <c r="I2" s="3" t="s">
        <v>32</v>
      </c>
      <c r="J2" s="2" t="s">
        <v>208</v>
      </c>
      <c r="K2" s="2" t="s">
        <v>255</v>
      </c>
      <c r="L2" s="2" t="s">
        <v>65</v>
      </c>
      <c r="M2" s="4">
        <v>32141</v>
      </c>
      <c r="N2" s="4">
        <v>45260</v>
      </c>
      <c r="O2" s="4">
        <v>45260</v>
      </c>
      <c r="P2" s="2">
        <f t="shared" ref="P2:P33" ca="1" si="0">DATEDIF(M2,TODAY(),"Y")</f>
        <v>38</v>
      </c>
      <c r="Q2" s="5">
        <f t="shared" ref="Q2:Q33" ca="1" si="1">ROUND(DATEDIF(N2,TODAY(),"M")/12,1)</f>
        <v>2.6</v>
      </c>
      <c r="R2" s="5">
        <f t="shared" ref="R2:R33" ca="1" si="2">ROUND(DATEDIF(O2,TODAY(),"M")/12,1)</f>
        <v>2.6</v>
      </c>
      <c r="S2" s="2" t="s">
        <v>56</v>
      </c>
    </row>
    <row r="3" spans="1:19" x14ac:dyDescent="0.3">
      <c r="A3" s="2" t="s">
        <v>24</v>
      </c>
      <c r="B3" s="2" t="s">
        <v>256</v>
      </c>
      <c r="C3" s="2" t="s">
        <v>257</v>
      </c>
      <c r="D3" s="2" t="s">
        <v>27</v>
      </c>
      <c r="E3" s="2" t="s">
        <v>108</v>
      </c>
      <c r="F3" s="2" t="s">
        <v>72</v>
      </c>
      <c r="G3" s="2" t="s">
        <v>51</v>
      </c>
      <c r="H3" s="2" t="s">
        <v>221</v>
      </c>
      <c r="I3" s="3" t="s">
        <v>43</v>
      </c>
      <c r="J3" s="2" t="s">
        <v>201</v>
      </c>
      <c r="K3" s="2" t="s">
        <v>258</v>
      </c>
      <c r="L3" s="2" t="s">
        <v>35</v>
      </c>
      <c r="M3" s="4">
        <v>29013</v>
      </c>
      <c r="N3" s="4">
        <v>45180</v>
      </c>
      <c r="O3" s="4">
        <v>45180</v>
      </c>
      <c r="P3" s="2">
        <f t="shared" ca="1" si="0"/>
        <v>47</v>
      </c>
      <c r="Q3" s="5">
        <f t="shared" ca="1" si="1"/>
        <v>2.8</v>
      </c>
      <c r="R3" s="5">
        <f t="shared" ca="1" si="2"/>
        <v>2.8</v>
      </c>
      <c r="S3" s="2" t="s">
        <v>66</v>
      </c>
    </row>
    <row r="4" spans="1:19" x14ac:dyDescent="0.3">
      <c r="A4" s="2" t="s">
        <v>57</v>
      </c>
      <c r="B4" s="2" t="s">
        <v>259</v>
      </c>
      <c r="C4" s="2" t="s">
        <v>260</v>
      </c>
      <c r="D4" s="2" t="s">
        <v>50</v>
      </c>
      <c r="E4" s="2" t="s">
        <v>80</v>
      </c>
      <c r="F4" s="2" t="s">
        <v>150</v>
      </c>
      <c r="G4" s="2" t="s">
        <v>30</v>
      </c>
      <c r="H4" s="2" t="s">
        <v>61</v>
      </c>
      <c r="I4" s="6" t="s">
        <v>53</v>
      </c>
      <c r="J4" s="2" t="s">
        <v>44</v>
      </c>
      <c r="K4" s="2" t="s">
        <v>261</v>
      </c>
      <c r="L4" s="2" t="s">
        <v>46</v>
      </c>
      <c r="M4" s="4">
        <v>35061</v>
      </c>
      <c r="N4" s="4">
        <v>41408</v>
      </c>
      <c r="O4" s="4">
        <v>43778</v>
      </c>
      <c r="P4" s="2">
        <f t="shared" ca="1" si="0"/>
        <v>30</v>
      </c>
      <c r="Q4" s="5">
        <f t="shared" ca="1" si="1"/>
        <v>13.2</v>
      </c>
      <c r="R4" s="5">
        <f t="shared" ca="1" si="2"/>
        <v>6.7</v>
      </c>
      <c r="S4" s="2" t="s">
        <v>123</v>
      </c>
    </row>
    <row r="5" spans="1:19" x14ac:dyDescent="0.3">
      <c r="A5" s="2" t="s">
        <v>90</v>
      </c>
      <c r="B5" s="2" t="s">
        <v>262</v>
      </c>
      <c r="C5" s="2" t="s">
        <v>263</v>
      </c>
      <c r="D5" s="2" t="s">
        <v>50</v>
      </c>
      <c r="E5" s="2" t="s">
        <v>131</v>
      </c>
      <c r="F5" s="2" t="s">
        <v>126</v>
      </c>
      <c r="G5" s="2" t="s">
        <v>51</v>
      </c>
      <c r="H5" s="2" t="s">
        <v>221</v>
      </c>
      <c r="I5" s="6" t="s">
        <v>62</v>
      </c>
      <c r="J5" s="2" t="s">
        <v>54</v>
      </c>
      <c r="K5" s="2" t="s">
        <v>264</v>
      </c>
      <c r="L5" s="2" t="s">
        <v>35</v>
      </c>
      <c r="M5" s="4">
        <v>35847</v>
      </c>
      <c r="N5" s="4">
        <v>44504</v>
      </c>
      <c r="O5" s="4">
        <v>45902</v>
      </c>
      <c r="P5" s="2">
        <f t="shared" ca="1" si="0"/>
        <v>28</v>
      </c>
      <c r="Q5" s="5">
        <f t="shared" ca="1" si="1"/>
        <v>4.7</v>
      </c>
      <c r="R5" s="5">
        <f t="shared" ca="1" si="2"/>
        <v>0.8</v>
      </c>
      <c r="S5" s="2" t="s">
        <v>123</v>
      </c>
    </row>
    <row r="6" spans="1:19" x14ac:dyDescent="0.3">
      <c r="A6" s="2" t="s">
        <v>37</v>
      </c>
      <c r="B6" s="2" t="s">
        <v>265</v>
      </c>
      <c r="C6" s="2" t="s">
        <v>266</v>
      </c>
      <c r="D6" s="2" t="s">
        <v>50</v>
      </c>
      <c r="E6" s="2" t="s">
        <v>40</v>
      </c>
      <c r="F6" s="2" t="s">
        <v>72</v>
      </c>
      <c r="G6" s="2" t="s">
        <v>73</v>
      </c>
      <c r="H6" s="2" t="s">
        <v>112</v>
      </c>
      <c r="I6" s="3" t="s">
        <v>75</v>
      </c>
      <c r="J6" s="2" t="s">
        <v>167</v>
      </c>
      <c r="K6" s="2" t="s">
        <v>267</v>
      </c>
      <c r="L6" s="2" t="s">
        <v>35</v>
      </c>
      <c r="M6" s="4">
        <v>36366</v>
      </c>
      <c r="N6" s="4">
        <v>45543</v>
      </c>
      <c r="O6" s="4">
        <v>45543</v>
      </c>
      <c r="P6" s="2">
        <f t="shared" ca="1" si="0"/>
        <v>27</v>
      </c>
      <c r="Q6" s="5">
        <f t="shared" ca="1" si="1"/>
        <v>1.8</v>
      </c>
      <c r="R6" s="5">
        <f t="shared" ca="1" si="2"/>
        <v>1.8</v>
      </c>
      <c r="S6" s="2" t="s">
        <v>47</v>
      </c>
    </row>
    <row r="7" spans="1:19" x14ac:dyDescent="0.3">
      <c r="A7" s="2" t="s">
        <v>67</v>
      </c>
      <c r="B7" s="2" t="s">
        <v>268</v>
      </c>
      <c r="C7" s="2" t="s">
        <v>257</v>
      </c>
      <c r="D7" s="2" t="s">
        <v>27</v>
      </c>
      <c r="E7" s="2" t="s">
        <v>149</v>
      </c>
      <c r="F7" s="2" t="s">
        <v>126</v>
      </c>
      <c r="G7" s="2" t="s">
        <v>93</v>
      </c>
      <c r="H7" s="2" t="s">
        <v>86</v>
      </c>
      <c r="I7" s="6" t="s">
        <v>82</v>
      </c>
      <c r="J7" s="2" t="s">
        <v>269</v>
      </c>
      <c r="K7" s="2" t="s">
        <v>270</v>
      </c>
      <c r="L7" s="2" t="s">
        <v>46</v>
      </c>
      <c r="M7" s="4">
        <v>31611</v>
      </c>
      <c r="N7" s="4">
        <v>45427</v>
      </c>
      <c r="O7" s="4">
        <v>45427</v>
      </c>
      <c r="P7" s="2">
        <f t="shared" ca="1" si="0"/>
        <v>40</v>
      </c>
      <c r="Q7" s="5">
        <f t="shared" ca="1" si="1"/>
        <v>2.2000000000000002</v>
      </c>
      <c r="R7" s="5">
        <f t="shared" ca="1" si="2"/>
        <v>2.2000000000000002</v>
      </c>
      <c r="S7" s="2" t="s">
        <v>123</v>
      </c>
    </row>
    <row r="8" spans="1:19" x14ac:dyDescent="0.3">
      <c r="A8" s="2" t="s">
        <v>37</v>
      </c>
      <c r="B8" s="2" t="s">
        <v>408</v>
      </c>
      <c r="C8" s="2" t="s">
        <v>271</v>
      </c>
      <c r="D8" s="2" t="s">
        <v>50</v>
      </c>
      <c r="E8" s="2" t="s">
        <v>117</v>
      </c>
      <c r="F8" s="2" t="s">
        <v>162</v>
      </c>
      <c r="G8" s="2" t="s">
        <v>51</v>
      </c>
      <c r="H8" s="2" t="s">
        <v>31</v>
      </c>
      <c r="I8" s="6" t="s">
        <v>87</v>
      </c>
      <c r="J8" s="2" t="s">
        <v>118</v>
      </c>
      <c r="K8" s="2" t="s">
        <v>272</v>
      </c>
      <c r="L8" s="2" t="s">
        <v>65</v>
      </c>
      <c r="M8" s="4">
        <v>34830</v>
      </c>
      <c r="N8" s="4">
        <v>45835</v>
      </c>
      <c r="O8" s="4">
        <v>45835</v>
      </c>
      <c r="P8" s="2">
        <f t="shared" ca="1" si="0"/>
        <v>31</v>
      </c>
      <c r="Q8" s="5">
        <f t="shared" ca="1" si="1"/>
        <v>1.1000000000000001</v>
      </c>
      <c r="R8" s="5">
        <f t="shared" ca="1" si="2"/>
        <v>1.1000000000000001</v>
      </c>
      <c r="S8" s="2" t="s">
        <v>47</v>
      </c>
    </row>
    <row r="9" spans="1:19" x14ac:dyDescent="0.3">
      <c r="A9" s="2" t="s">
        <v>67</v>
      </c>
      <c r="B9" s="2" t="s">
        <v>273</v>
      </c>
      <c r="C9" s="2" t="s">
        <v>274</v>
      </c>
      <c r="D9" s="2" t="s">
        <v>50</v>
      </c>
      <c r="E9" s="2" t="s">
        <v>234</v>
      </c>
      <c r="F9" s="2" t="s">
        <v>162</v>
      </c>
      <c r="G9" s="2" t="s">
        <v>93</v>
      </c>
      <c r="H9" s="2" t="s">
        <v>221</v>
      </c>
      <c r="I9" s="6" t="s">
        <v>53</v>
      </c>
      <c r="J9" s="2" t="s">
        <v>163</v>
      </c>
      <c r="K9" s="2" t="s">
        <v>275</v>
      </c>
      <c r="L9" s="2" t="s">
        <v>35</v>
      </c>
      <c r="M9" s="4">
        <v>33076</v>
      </c>
      <c r="N9" s="4">
        <v>44420</v>
      </c>
      <c r="O9" s="4">
        <v>46096</v>
      </c>
      <c r="P9" s="2">
        <f t="shared" ca="1" si="0"/>
        <v>36</v>
      </c>
      <c r="Q9" s="5">
        <f t="shared" ca="1" si="1"/>
        <v>4.9000000000000004</v>
      </c>
      <c r="R9" s="5">
        <f t="shared" ca="1" si="2"/>
        <v>0.3</v>
      </c>
      <c r="S9" s="2" t="s">
        <v>47</v>
      </c>
    </row>
    <row r="10" spans="1:19" x14ac:dyDescent="0.3">
      <c r="A10" s="2" t="s">
        <v>24</v>
      </c>
      <c r="B10" s="2" t="s">
        <v>276</v>
      </c>
      <c r="C10" s="2" t="s">
        <v>26</v>
      </c>
      <c r="D10" s="2" t="s">
        <v>27</v>
      </c>
      <c r="E10" s="2" t="s">
        <v>131</v>
      </c>
      <c r="F10" s="2" t="s">
        <v>41</v>
      </c>
      <c r="G10" s="2" t="s">
        <v>93</v>
      </c>
      <c r="H10" s="2" t="s">
        <v>74</v>
      </c>
      <c r="I10" s="6" t="s">
        <v>101</v>
      </c>
      <c r="J10" s="2" t="s">
        <v>145</v>
      </c>
      <c r="K10" s="2" t="s">
        <v>277</v>
      </c>
      <c r="L10" s="2" t="s">
        <v>65</v>
      </c>
      <c r="M10" s="4">
        <v>30185</v>
      </c>
      <c r="N10" s="4">
        <v>43128</v>
      </c>
      <c r="O10" s="4">
        <v>45566</v>
      </c>
      <c r="P10" s="2">
        <f t="shared" ca="1" si="0"/>
        <v>43</v>
      </c>
      <c r="Q10" s="5">
        <f t="shared" ca="1" si="1"/>
        <v>8.5</v>
      </c>
      <c r="R10" s="5">
        <f t="shared" ca="1" si="2"/>
        <v>1.8</v>
      </c>
      <c r="S10" s="2" t="s">
        <v>66</v>
      </c>
    </row>
    <row r="11" spans="1:19" x14ac:dyDescent="0.3">
      <c r="A11" s="2" t="s">
        <v>90</v>
      </c>
      <c r="B11" s="2" t="s">
        <v>278</v>
      </c>
      <c r="C11" s="2" t="s">
        <v>279</v>
      </c>
      <c r="D11" s="2" t="s">
        <v>50</v>
      </c>
      <c r="E11" s="2" t="s">
        <v>149</v>
      </c>
      <c r="F11" s="2" t="s">
        <v>41</v>
      </c>
      <c r="G11" s="2" t="s">
        <v>73</v>
      </c>
      <c r="H11" s="2" t="s">
        <v>221</v>
      </c>
      <c r="I11" s="6" t="s">
        <v>101</v>
      </c>
      <c r="J11" s="2" t="s">
        <v>76</v>
      </c>
      <c r="K11" s="2" t="s">
        <v>280</v>
      </c>
      <c r="L11" s="2" t="s">
        <v>65</v>
      </c>
      <c r="M11" s="4">
        <v>31666</v>
      </c>
      <c r="N11" s="4">
        <v>41367</v>
      </c>
      <c r="O11" s="4">
        <v>43867</v>
      </c>
      <c r="P11" s="2">
        <f t="shared" ca="1" si="0"/>
        <v>39</v>
      </c>
      <c r="Q11" s="5">
        <f t="shared" ca="1" si="1"/>
        <v>13.3</v>
      </c>
      <c r="R11" s="5">
        <f t="shared" ca="1" si="2"/>
        <v>6.4</v>
      </c>
      <c r="S11" s="2" t="s">
        <v>47</v>
      </c>
    </row>
    <row r="12" spans="1:19" x14ac:dyDescent="0.3">
      <c r="A12" s="2" t="s">
        <v>37</v>
      </c>
      <c r="B12" s="2" t="s">
        <v>281</v>
      </c>
      <c r="C12" s="2" t="s">
        <v>282</v>
      </c>
      <c r="D12" s="2" t="s">
        <v>27</v>
      </c>
      <c r="E12" s="2" t="s">
        <v>117</v>
      </c>
      <c r="F12" s="2" t="s">
        <v>29</v>
      </c>
      <c r="G12" s="2" t="s">
        <v>99</v>
      </c>
      <c r="H12" s="2" t="s">
        <v>100</v>
      </c>
      <c r="I12" s="3" t="s">
        <v>113</v>
      </c>
      <c r="J12" s="2" t="s">
        <v>155</v>
      </c>
      <c r="K12" s="2" t="s">
        <v>283</v>
      </c>
      <c r="L12" s="2" t="s">
        <v>46</v>
      </c>
      <c r="M12" s="4">
        <v>31816</v>
      </c>
      <c r="N12" s="4">
        <v>41578</v>
      </c>
      <c r="O12" s="4">
        <v>45967</v>
      </c>
      <c r="P12" s="2">
        <f t="shared" ca="1" si="0"/>
        <v>39</v>
      </c>
      <c r="Q12" s="5">
        <f t="shared" ca="1" si="1"/>
        <v>12.7</v>
      </c>
      <c r="R12" s="5">
        <f t="shared" ca="1" si="2"/>
        <v>0.7</v>
      </c>
      <c r="S12" s="2" t="s">
        <v>47</v>
      </c>
    </row>
    <row r="13" spans="1:19" x14ac:dyDescent="0.3">
      <c r="A13" s="2" t="s">
        <v>90</v>
      </c>
      <c r="B13" s="2" t="s">
        <v>284</v>
      </c>
      <c r="C13" s="2" t="s">
        <v>285</v>
      </c>
      <c r="D13" s="2" t="s">
        <v>27</v>
      </c>
      <c r="E13" s="2" t="s">
        <v>40</v>
      </c>
      <c r="F13" s="2" t="s">
        <v>162</v>
      </c>
      <c r="G13" s="2" t="s">
        <v>93</v>
      </c>
      <c r="H13" s="2" t="s">
        <v>179</v>
      </c>
      <c r="I13" s="6" t="s">
        <v>101</v>
      </c>
      <c r="J13" s="2" t="s">
        <v>269</v>
      </c>
      <c r="K13" s="2" t="s">
        <v>286</v>
      </c>
      <c r="L13" s="2" t="s">
        <v>46</v>
      </c>
      <c r="M13" s="4">
        <v>34857</v>
      </c>
      <c r="N13" s="4">
        <v>41478</v>
      </c>
      <c r="O13" s="4">
        <v>43428</v>
      </c>
      <c r="P13" s="2">
        <f t="shared" ca="1" si="0"/>
        <v>31</v>
      </c>
      <c r="Q13" s="5">
        <f t="shared" ca="1" si="1"/>
        <v>13</v>
      </c>
      <c r="R13" s="5">
        <f t="shared" ca="1" si="2"/>
        <v>7.7</v>
      </c>
      <c r="S13" s="2" t="s">
        <v>66</v>
      </c>
    </row>
    <row r="14" spans="1:19" x14ac:dyDescent="0.3">
      <c r="A14" s="2" t="s">
        <v>24</v>
      </c>
      <c r="B14" s="2" t="s">
        <v>287</v>
      </c>
      <c r="C14" s="2" t="s">
        <v>237</v>
      </c>
      <c r="D14" s="2" t="s">
        <v>27</v>
      </c>
      <c r="E14" s="2" t="s">
        <v>40</v>
      </c>
      <c r="F14" s="2" t="s">
        <v>126</v>
      </c>
      <c r="G14" s="2" t="s">
        <v>30</v>
      </c>
      <c r="H14" s="2" t="s">
        <v>179</v>
      </c>
      <c r="I14" s="3" t="s">
        <v>75</v>
      </c>
      <c r="J14" s="2" t="s">
        <v>33</v>
      </c>
      <c r="K14" s="2" t="s">
        <v>288</v>
      </c>
      <c r="L14" s="2" t="s">
        <v>46</v>
      </c>
      <c r="M14" s="4">
        <v>28425</v>
      </c>
      <c r="N14" s="4">
        <v>42577</v>
      </c>
      <c r="O14" s="4">
        <v>45104</v>
      </c>
      <c r="P14" s="2">
        <f t="shared" ca="1" si="0"/>
        <v>48</v>
      </c>
      <c r="Q14" s="5">
        <f t="shared" ca="1" si="1"/>
        <v>10</v>
      </c>
      <c r="R14" s="5">
        <f t="shared" ca="1" si="2"/>
        <v>3.1</v>
      </c>
      <c r="S14" s="2" t="s">
        <v>123</v>
      </c>
    </row>
    <row r="15" spans="1:19" x14ac:dyDescent="0.3">
      <c r="A15" s="2" t="s">
        <v>105</v>
      </c>
      <c r="B15" s="2" t="s">
        <v>289</v>
      </c>
      <c r="C15" s="2" t="s">
        <v>290</v>
      </c>
      <c r="D15" s="2" t="s">
        <v>27</v>
      </c>
      <c r="E15" s="2" t="s">
        <v>108</v>
      </c>
      <c r="F15" s="2" t="s">
        <v>126</v>
      </c>
      <c r="G15" s="2" t="s">
        <v>93</v>
      </c>
      <c r="H15" s="2" t="s">
        <v>221</v>
      </c>
      <c r="I15" s="6" t="s">
        <v>101</v>
      </c>
      <c r="J15" s="2" t="s">
        <v>269</v>
      </c>
      <c r="K15" s="2" t="s">
        <v>291</v>
      </c>
      <c r="L15" s="2" t="s">
        <v>65</v>
      </c>
      <c r="M15" s="4">
        <v>34055</v>
      </c>
      <c r="N15" s="4">
        <v>43045</v>
      </c>
      <c r="O15" s="4">
        <v>45480</v>
      </c>
      <c r="P15" s="2">
        <f t="shared" ca="1" si="0"/>
        <v>33</v>
      </c>
      <c r="Q15" s="5">
        <f t="shared" ca="1" si="1"/>
        <v>8.6999999999999993</v>
      </c>
      <c r="R15" s="5">
        <f t="shared" ca="1" si="2"/>
        <v>2</v>
      </c>
      <c r="S15" s="2" t="s">
        <v>66</v>
      </c>
    </row>
    <row r="16" spans="1:19" x14ac:dyDescent="0.3">
      <c r="A16" s="2" t="s">
        <v>67</v>
      </c>
      <c r="B16" s="2" t="s">
        <v>292</v>
      </c>
      <c r="C16" s="2" t="s">
        <v>293</v>
      </c>
      <c r="D16" s="2" t="s">
        <v>50</v>
      </c>
      <c r="E16" s="2" t="s">
        <v>40</v>
      </c>
      <c r="F16" s="2" t="s">
        <v>162</v>
      </c>
      <c r="G16" s="2" t="s">
        <v>73</v>
      </c>
      <c r="H16" s="2" t="s">
        <v>52</v>
      </c>
      <c r="I16" s="6" t="s">
        <v>82</v>
      </c>
      <c r="J16" s="2" t="s">
        <v>205</v>
      </c>
      <c r="K16" s="2" t="s">
        <v>294</v>
      </c>
      <c r="L16" s="2" t="s">
        <v>35</v>
      </c>
      <c r="M16" s="4">
        <v>36073</v>
      </c>
      <c r="N16" s="4">
        <v>41158</v>
      </c>
      <c r="O16" s="4">
        <v>41499</v>
      </c>
      <c r="P16" s="2">
        <f t="shared" ca="1" si="0"/>
        <v>27</v>
      </c>
      <c r="Q16" s="5">
        <f t="shared" ca="1" si="1"/>
        <v>13.8</v>
      </c>
      <c r="R16" s="5">
        <f t="shared" ca="1" si="2"/>
        <v>12.9</v>
      </c>
      <c r="S16" s="2" t="s">
        <v>47</v>
      </c>
    </row>
    <row r="17" spans="1:19" x14ac:dyDescent="0.3">
      <c r="A17" s="2" t="s">
        <v>37</v>
      </c>
      <c r="B17" s="2" t="s">
        <v>295</v>
      </c>
      <c r="C17" s="2" t="s">
        <v>296</v>
      </c>
      <c r="D17" s="2" t="s">
        <v>27</v>
      </c>
      <c r="E17" s="2" t="s">
        <v>80</v>
      </c>
      <c r="F17" s="2" t="s">
        <v>126</v>
      </c>
      <c r="G17" s="2" t="s">
        <v>51</v>
      </c>
      <c r="H17" s="2" t="s">
        <v>112</v>
      </c>
      <c r="I17" s="3" t="s">
        <v>113</v>
      </c>
      <c r="J17" s="2" t="s">
        <v>208</v>
      </c>
      <c r="K17" s="2" t="s">
        <v>297</v>
      </c>
      <c r="L17" s="2" t="s">
        <v>35</v>
      </c>
      <c r="M17" s="4">
        <v>28196</v>
      </c>
      <c r="N17" s="4">
        <v>42456</v>
      </c>
      <c r="O17" s="4">
        <v>46223</v>
      </c>
      <c r="P17" s="2">
        <f t="shared" ca="1" si="0"/>
        <v>49</v>
      </c>
      <c r="Q17" s="5">
        <f t="shared" ca="1" si="1"/>
        <v>10.3</v>
      </c>
      <c r="R17" s="5">
        <f t="shared" ca="1" si="2"/>
        <v>0</v>
      </c>
      <c r="S17" s="2" t="s">
        <v>36</v>
      </c>
    </row>
    <row r="18" spans="1:19" x14ac:dyDescent="0.3">
      <c r="A18" s="2" t="s">
        <v>105</v>
      </c>
      <c r="B18" s="2" t="s">
        <v>298</v>
      </c>
      <c r="C18" s="2" t="s">
        <v>299</v>
      </c>
      <c r="D18" s="2" t="s">
        <v>50</v>
      </c>
      <c r="E18" s="2" t="s">
        <v>60</v>
      </c>
      <c r="F18" s="2" t="s">
        <v>81</v>
      </c>
      <c r="G18" s="2" t="s">
        <v>51</v>
      </c>
      <c r="H18" s="2" t="s">
        <v>52</v>
      </c>
      <c r="I18" s="3" t="s">
        <v>32</v>
      </c>
      <c r="J18" s="2" t="s">
        <v>201</v>
      </c>
      <c r="K18" s="2" t="s">
        <v>300</v>
      </c>
      <c r="L18" s="2" t="s">
        <v>35</v>
      </c>
      <c r="M18" s="4">
        <v>28199</v>
      </c>
      <c r="N18" s="4">
        <v>41032</v>
      </c>
      <c r="O18" s="4">
        <v>43890</v>
      </c>
      <c r="P18" s="2">
        <f t="shared" ca="1" si="0"/>
        <v>49</v>
      </c>
      <c r="Q18" s="5">
        <f t="shared" ca="1" si="1"/>
        <v>14.2</v>
      </c>
      <c r="R18" s="5">
        <f t="shared" ca="1" si="2"/>
        <v>6.4</v>
      </c>
      <c r="S18" s="2" t="s">
        <v>104</v>
      </c>
    </row>
    <row r="19" spans="1:19" x14ac:dyDescent="0.3">
      <c r="A19" s="2" t="s">
        <v>37</v>
      </c>
      <c r="B19" s="2" t="s">
        <v>301</v>
      </c>
      <c r="C19" s="2" t="s">
        <v>302</v>
      </c>
      <c r="D19" s="2" t="s">
        <v>50</v>
      </c>
      <c r="E19" s="2" t="s">
        <v>98</v>
      </c>
      <c r="F19" s="2" t="s">
        <v>126</v>
      </c>
      <c r="G19" s="2" t="s">
        <v>93</v>
      </c>
      <c r="H19" s="2" t="s">
        <v>179</v>
      </c>
      <c r="I19" s="6" t="s">
        <v>82</v>
      </c>
      <c r="J19" s="2" t="s">
        <v>269</v>
      </c>
      <c r="K19" s="2" t="s">
        <v>303</v>
      </c>
      <c r="L19" s="2" t="s">
        <v>35</v>
      </c>
      <c r="M19" s="4">
        <v>35229</v>
      </c>
      <c r="N19" s="4">
        <v>44967</v>
      </c>
      <c r="O19" s="4">
        <v>46090</v>
      </c>
      <c r="P19" s="2">
        <f t="shared" ca="1" si="0"/>
        <v>30</v>
      </c>
      <c r="Q19" s="5">
        <f t="shared" ca="1" si="1"/>
        <v>3.4</v>
      </c>
      <c r="R19" s="5">
        <f t="shared" ca="1" si="2"/>
        <v>0.3</v>
      </c>
      <c r="S19" s="2" t="s">
        <v>66</v>
      </c>
    </row>
    <row r="20" spans="1:19" x14ac:dyDescent="0.3">
      <c r="A20" s="2" t="s">
        <v>57</v>
      </c>
      <c r="B20" s="2" t="s">
        <v>304</v>
      </c>
      <c r="C20" s="2" t="s">
        <v>305</v>
      </c>
      <c r="D20" s="2" t="s">
        <v>27</v>
      </c>
      <c r="E20" s="2" t="s">
        <v>149</v>
      </c>
      <c r="F20" s="2" t="s">
        <v>126</v>
      </c>
      <c r="G20" s="2" t="s">
        <v>99</v>
      </c>
      <c r="H20" s="2" t="s">
        <v>221</v>
      </c>
      <c r="I20" s="3" t="s">
        <v>75</v>
      </c>
      <c r="J20" s="2" t="s">
        <v>155</v>
      </c>
      <c r="K20" s="2" t="s">
        <v>306</v>
      </c>
      <c r="L20" s="2" t="s">
        <v>65</v>
      </c>
      <c r="M20" s="4">
        <v>36649</v>
      </c>
      <c r="N20" s="4">
        <v>40713</v>
      </c>
      <c r="O20" s="4">
        <v>45032</v>
      </c>
      <c r="P20" s="2">
        <f t="shared" ca="1" si="0"/>
        <v>26</v>
      </c>
      <c r="Q20" s="5">
        <f t="shared" ca="1" si="1"/>
        <v>15.1</v>
      </c>
      <c r="R20" s="5">
        <f t="shared" ca="1" si="2"/>
        <v>3.3</v>
      </c>
      <c r="S20" s="2" t="s">
        <v>104</v>
      </c>
    </row>
    <row r="21" spans="1:19" x14ac:dyDescent="0.3">
      <c r="A21" s="2" t="s">
        <v>105</v>
      </c>
      <c r="B21" s="2" t="s">
        <v>307</v>
      </c>
      <c r="C21" s="2" t="s">
        <v>308</v>
      </c>
      <c r="D21" s="2" t="s">
        <v>50</v>
      </c>
      <c r="E21" s="2" t="s">
        <v>234</v>
      </c>
      <c r="F21" s="2" t="s">
        <v>162</v>
      </c>
      <c r="G21" s="2" t="s">
        <v>93</v>
      </c>
      <c r="H21" s="2" t="s">
        <v>61</v>
      </c>
      <c r="I21" s="3" t="s">
        <v>43</v>
      </c>
      <c r="J21" s="2" t="s">
        <v>94</v>
      </c>
      <c r="K21" s="2" t="s">
        <v>309</v>
      </c>
      <c r="L21" s="2" t="s">
        <v>35</v>
      </c>
      <c r="M21" s="4">
        <v>37430</v>
      </c>
      <c r="N21" s="4">
        <v>44572</v>
      </c>
      <c r="O21" s="4">
        <v>45720</v>
      </c>
      <c r="P21" s="2">
        <f t="shared" ca="1" si="0"/>
        <v>24</v>
      </c>
      <c r="Q21" s="5">
        <f t="shared" ca="1" si="1"/>
        <v>4.5</v>
      </c>
      <c r="R21" s="5">
        <f t="shared" ca="1" si="2"/>
        <v>1.3</v>
      </c>
      <c r="S21" s="2" t="s">
        <v>66</v>
      </c>
    </row>
    <row r="22" spans="1:19" x14ac:dyDescent="0.3">
      <c r="A22" s="2" t="s">
        <v>37</v>
      </c>
      <c r="B22" s="2" t="s">
        <v>409</v>
      </c>
      <c r="C22" s="2" t="s">
        <v>310</v>
      </c>
      <c r="D22" s="2" t="s">
        <v>27</v>
      </c>
      <c r="E22" s="2" t="s">
        <v>98</v>
      </c>
      <c r="F22" s="2" t="s">
        <v>72</v>
      </c>
      <c r="G22" s="2" t="s">
        <v>51</v>
      </c>
      <c r="H22" s="2" t="s">
        <v>179</v>
      </c>
      <c r="I22" s="6" t="s">
        <v>82</v>
      </c>
      <c r="J22" s="2" t="s">
        <v>54</v>
      </c>
      <c r="K22" s="2" t="s">
        <v>311</v>
      </c>
      <c r="L22" s="2" t="s">
        <v>35</v>
      </c>
      <c r="M22" s="4">
        <v>33591</v>
      </c>
      <c r="N22" s="4">
        <v>45050</v>
      </c>
      <c r="O22" s="4">
        <v>46056</v>
      </c>
      <c r="P22" s="2">
        <f t="shared" ca="1" si="0"/>
        <v>34</v>
      </c>
      <c r="Q22" s="5">
        <f t="shared" ca="1" si="1"/>
        <v>3.2</v>
      </c>
      <c r="R22" s="5">
        <f t="shared" ca="1" si="2"/>
        <v>0.4</v>
      </c>
      <c r="S22" s="2" t="s">
        <v>36</v>
      </c>
    </row>
    <row r="23" spans="1:19" x14ac:dyDescent="0.3">
      <c r="A23" s="2" t="s">
        <v>90</v>
      </c>
      <c r="B23" s="2" t="s">
        <v>312</v>
      </c>
      <c r="C23" s="2" t="s">
        <v>313</v>
      </c>
      <c r="D23" s="2" t="s">
        <v>50</v>
      </c>
      <c r="E23" s="2" t="s">
        <v>28</v>
      </c>
      <c r="F23" s="2" t="s">
        <v>72</v>
      </c>
      <c r="G23" s="2" t="s">
        <v>99</v>
      </c>
      <c r="H23" s="2" t="s">
        <v>100</v>
      </c>
      <c r="I23" s="6" t="s">
        <v>101</v>
      </c>
      <c r="J23" s="2" t="s">
        <v>314</v>
      </c>
      <c r="K23" s="2" t="s">
        <v>315</v>
      </c>
      <c r="L23" s="2" t="s">
        <v>35</v>
      </c>
      <c r="M23" s="4">
        <v>34599</v>
      </c>
      <c r="N23" s="4">
        <v>43929</v>
      </c>
      <c r="O23" s="4">
        <v>44808</v>
      </c>
      <c r="P23" s="2">
        <f t="shared" ca="1" si="0"/>
        <v>31</v>
      </c>
      <c r="Q23" s="5">
        <f t="shared" ca="1" si="1"/>
        <v>6.3</v>
      </c>
      <c r="R23" s="5">
        <f t="shared" ca="1" si="2"/>
        <v>3.8</v>
      </c>
      <c r="S23" s="2" t="s">
        <v>66</v>
      </c>
    </row>
    <row r="24" spans="1:19" x14ac:dyDescent="0.3">
      <c r="A24" s="2" t="s">
        <v>90</v>
      </c>
      <c r="B24" s="2" t="s">
        <v>316</v>
      </c>
      <c r="C24" s="2" t="s">
        <v>317</v>
      </c>
      <c r="D24" s="2" t="s">
        <v>27</v>
      </c>
      <c r="E24" s="2" t="s">
        <v>80</v>
      </c>
      <c r="F24" s="2" t="s">
        <v>126</v>
      </c>
      <c r="G24" s="2" t="s">
        <v>30</v>
      </c>
      <c r="H24" s="2" t="s">
        <v>179</v>
      </c>
      <c r="I24" s="6" t="s">
        <v>82</v>
      </c>
      <c r="J24" s="2" t="s">
        <v>184</v>
      </c>
      <c r="K24" s="2" t="s">
        <v>318</v>
      </c>
      <c r="L24" s="2" t="s">
        <v>46</v>
      </c>
      <c r="M24" s="4">
        <v>34208</v>
      </c>
      <c r="N24" s="4">
        <v>44514</v>
      </c>
      <c r="O24" s="4">
        <v>44821</v>
      </c>
      <c r="P24" s="2">
        <f t="shared" ca="1" si="0"/>
        <v>32</v>
      </c>
      <c r="Q24" s="5">
        <f t="shared" ca="1" si="1"/>
        <v>4.7</v>
      </c>
      <c r="R24" s="5">
        <f t="shared" ca="1" si="2"/>
        <v>3.8</v>
      </c>
      <c r="S24" s="2" t="s">
        <v>123</v>
      </c>
    </row>
    <row r="25" spans="1:19" x14ac:dyDescent="0.3">
      <c r="A25" s="2" t="s">
        <v>57</v>
      </c>
      <c r="B25" s="2" t="s">
        <v>319</v>
      </c>
      <c r="C25" s="2" t="s">
        <v>320</v>
      </c>
      <c r="D25" s="2" t="s">
        <v>27</v>
      </c>
      <c r="E25" s="2" t="s">
        <v>71</v>
      </c>
      <c r="F25" s="2" t="s">
        <v>162</v>
      </c>
      <c r="G25" s="2" t="s">
        <v>99</v>
      </c>
      <c r="H25" s="2" t="s">
        <v>31</v>
      </c>
      <c r="I25" s="6" t="s">
        <v>82</v>
      </c>
      <c r="J25" s="2" t="s">
        <v>171</v>
      </c>
      <c r="K25" s="2" t="s">
        <v>321</v>
      </c>
      <c r="L25" s="2" t="s">
        <v>46</v>
      </c>
      <c r="M25" s="4">
        <v>28888</v>
      </c>
      <c r="N25" s="4">
        <v>44324</v>
      </c>
      <c r="O25" s="4">
        <v>45890</v>
      </c>
      <c r="P25" s="2">
        <f t="shared" ca="1" si="0"/>
        <v>47</v>
      </c>
      <c r="Q25" s="5">
        <f t="shared" ca="1" si="1"/>
        <v>5.2</v>
      </c>
      <c r="R25" s="5">
        <f t="shared" ca="1" si="2"/>
        <v>0.9</v>
      </c>
      <c r="S25" s="2" t="s">
        <v>66</v>
      </c>
    </row>
    <row r="26" spans="1:19" x14ac:dyDescent="0.3">
      <c r="A26" s="2" t="s">
        <v>57</v>
      </c>
      <c r="B26" s="2" t="s">
        <v>322</v>
      </c>
      <c r="C26" s="2" t="s">
        <v>323</v>
      </c>
      <c r="D26" s="2" t="s">
        <v>50</v>
      </c>
      <c r="E26" s="2" t="s">
        <v>60</v>
      </c>
      <c r="F26" s="2" t="s">
        <v>126</v>
      </c>
      <c r="G26" s="2" t="s">
        <v>93</v>
      </c>
      <c r="H26" s="2" t="s">
        <v>112</v>
      </c>
      <c r="I26" s="6" t="s">
        <v>82</v>
      </c>
      <c r="J26" s="2" t="s">
        <v>145</v>
      </c>
      <c r="K26" s="2" t="s">
        <v>324</v>
      </c>
      <c r="L26" s="2" t="s">
        <v>65</v>
      </c>
      <c r="M26" s="4">
        <v>36061</v>
      </c>
      <c r="N26" s="4">
        <v>41728</v>
      </c>
      <c r="O26" s="4">
        <v>43293</v>
      </c>
      <c r="P26" s="2">
        <f t="shared" ca="1" si="0"/>
        <v>27</v>
      </c>
      <c r="Q26" s="5">
        <f t="shared" ca="1" si="1"/>
        <v>12.3</v>
      </c>
      <c r="R26" s="5">
        <f t="shared" ca="1" si="2"/>
        <v>8</v>
      </c>
      <c r="S26" s="2" t="s">
        <v>47</v>
      </c>
    </row>
    <row r="27" spans="1:19" x14ac:dyDescent="0.3">
      <c r="A27" s="2" t="s">
        <v>90</v>
      </c>
      <c r="B27" s="2" t="s">
        <v>325</v>
      </c>
      <c r="C27" s="2" t="s">
        <v>326</v>
      </c>
      <c r="D27" s="2" t="s">
        <v>50</v>
      </c>
      <c r="E27" s="2" t="s">
        <v>60</v>
      </c>
      <c r="F27" s="2" t="s">
        <v>81</v>
      </c>
      <c r="G27" s="2" t="s">
        <v>73</v>
      </c>
      <c r="H27" s="2" t="s">
        <v>42</v>
      </c>
      <c r="I27" s="6" t="s">
        <v>101</v>
      </c>
      <c r="J27" s="2" t="s">
        <v>135</v>
      </c>
      <c r="K27" s="2" t="s">
        <v>327</v>
      </c>
      <c r="L27" s="2" t="s">
        <v>65</v>
      </c>
      <c r="M27" s="4">
        <v>31664</v>
      </c>
      <c r="N27" s="4">
        <v>42989</v>
      </c>
      <c r="O27" s="4">
        <v>45906</v>
      </c>
      <c r="P27" s="2">
        <f t="shared" ca="1" si="0"/>
        <v>39</v>
      </c>
      <c r="Q27" s="5">
        <f t="shared" ca="1" si="1"/>
        <v>8.8000000000000007</v>
      </c>
      <c r="R27" s="5">
        <f t="shared" ca="1" si="2"/>
        <v>0.8</v>
      </c>
      <c r="S27" s="2" t="s">
        <v>104</v>
      </c>
    </row>
    <row r="28" spans="1:19" x14ac:dyDescent="0.3">
      <c r="A28" s="2" t="s">
        <v>105</v>
      </c>
      <c r="B28" s="2" t="s">
        <v>328</v>
      </c>
      <c r="C28" s="2" t="s">
        <v>329</v>
      </c>
      <c r="D28" s="2" t="s">
        <v>27</v>
      </c>
      <c r="E28" s="2" t="s">
        <v>131</v>
      </c>
      <c r="F28" s="2" t="s">
        <v>41</v>
      </c>
      <c r="G28" s="2" t="s">
        <v>93</v>
      </c>
      <c r="H28" s="2" t="s">
        <v>100</v>
      </c>
      <c r="I28" s="6" t="s">
        <v>180</v>
      </c>
      <c r="J28" s="2" t="s">
        <v>163</v>
      </c>
      <c r="K28" s="2" t="s">
        <v>330</v>
      </c>
      <c r="L28" s="2" t="s">
        <v>35</v>
      </c>
      <c r="M28" s="4">
        <v>33210</v>
      </c>
      <c r="N28" s="4">
        <v>44274</v>
      </c>
      <c r="O28" s="4">
        <v>45319</v>
      </c>
      <c r="P28" s="2">
        <f t="shared" ca="1" si="0"/>
        <v>35</v>
      </c>
      <c r="Q28" s="5">
        <f t="shared" ca="1" si="1"/>
        <v>5.3</v>
      </c>
      <c r="R28" s="5">
        <f t="shared" ca="1" si="2"/>
        <v>2.5</v>
      </c>
      <c r="S28" s="2" t="s">
        <v>123</v>
      </c>
    </row>
    <row r="29" spans="1:19" x14ac:dyDescent="0.3">
      <c r="A29" s="2" t="s">
        <v>90</v>
      </c>
      <c r="B29" s="2" t="s">
        <v>331</v>
      </c>
      <c r="C29" s="2" t="s">
        <v>332</v>
      </c>
      <c r="D29" s="2" t="s">
        <v>27</v>
      </c>
      <c r="E29" s="2" t="s">
        <v>80</v>
      </c>
      <c r="F29" s="2" t="s">
        <v>41</v>
      </c>
      <c r="G29" s="2" t="s">
        <v>30</v>
      </c>
      <c r="H29" s="2" t="s">
        <v>61</v>
      </c>
      <c r="I29" s="6" t="s">
        <v>180</v>
      </c>
      <c r="J29" s="2" t="s">
        <v>44</v>
      </c>
      <c r="K29" s="2" t="s">
        <v>333</v>
      </c>
      <c r="L29" s="2" t="s">
        <v>65</v>
      </c>
      <c r="M29" s="4">
        <v>33355</v>
      </c>
      <c r="N29" s="4">
        <v>45980</v>
      </c>
      <c r="O29" s="4">
        <v>45980</v>
      </c>
      <c r="P29" s="2">
        <f t="shared" ca="1" si="0"/>
        <v>35</v>
      </c>
      <c r="Q29" s="5">
        <f t="shared" ca="1" si="1"/>
        <v>0.7</v>
      </c>
      <c r="R29" s="5">
        <f t="shared" ca="1" si="2"/>
        <v>0.7</v>
      </c>
      <c r="S29" s="2" t="s">
        <v>123</v>
      </c>
    </row>
    <row r="30" spans="1:19" x14ac:dyDescent="0.3">
      <c r="A30" s="2" t="s">
        <v>105</v>
      </c>
      <c r="B30" s="2" t="s">
        <v>334</v>
      </c>
      <c r="C30" s="2" t="s">
        <v>335</v>
      </c>
      <c r="D30" s="2" t="s">
        <v>27</v>
      </c>
      <c r="E30" s="2" t="s">
        <v>131</v>
      </c>
      <c r="F30" s="2" t="s">
        <v>41</v>
      </c>
      <c r="G30" s="2" t="s">
        <v>99</v>
      </c>
      <c r="H30" s="2" t="s">
        <v>112</v>
      </c>
      <c r="I30" s="6" t="s">
        <v>53</v>
      </c>
      <c r="J30" s="2" t="s">
        <v>127</v>
      </c>
      <c r="K30" s="2" t="s">
        <v>336</v>
      </c>
      <c r="L30" s="2" t="s">
        <v>46</v>
      </c>
      <c r="M30" s="4">
        <v>28663</v>
      </c>
      <c r="N30" s="4">
        <v>44852</v>
      </c>
      <c r="O30" s="4">
        <v>45794</v>
      </c>
      <c r="P30" s="2">
        <f t="shared" ca="1" si="0"/>
        <v>48</v>
      </c>
      <c r="Q30" s="5">
        <f t="shared" ca="1" si="1"/>
        <v>3.8</v>
      </c>
      <c r="R30" s="5">
        <f t="shared" ca="1" si="2"/>
        <v>1.2</v>
      </c>
      <c r="S30" s="2" t="s">
        <v>123</v>
      </c>
    </row>
    <row r="31" spans="1:19" x14ac:dyDescent="0.3">
      <c r="A31" s="2" t="s">
        <v>37</v>
      </c>
      <c r="B31" s="2" t="s">
        <v>337</v>
      </c>
      <c r="C31" s="2" t="s">
        <v>338</v>
      </c>
      <c r="D31" s="2" t="s">
        <v>50</v>
      </c>
      <c r="E31" s="2" t="s">
        <v>80</v>
      </c>
      <c r="F31" s="2" t="s">
        <v>150</v>
      </c>
      <c r="G31" s="2" t="s">
        <v>93</v>
      </c>
      <c r="H31" s="2" t="s">
        <v>221</v>
      </c>
      <c r="I31" s="3" t="s">
        <v>43</v>
      </c>
      <c r="J31" s="2" t="s">
        <v>163</v>
      </c>
      <c r="K31" s="2" t="s">
        <v>339</v>
      </c>
      <c r="L31" s="2" t="s">
        <v>35</v>
      </c>
      <c r="M31" s="4">
        <v>33542</v>
      </c>
      <c r="N31" s="4">
        <v>45867</v>
      </c>
      <c r="O31" s="4">
        <v>46115</v>
      </c>
      <c r="P31" s="2">
        <f t="shared" ca="1" si="0"/>
        <v>34</v>
      </c>
      <c r="Q31" s="5">
        <f t="shared" ca="1" si="1"/>
        <v>1</v>
      </c>
      <c r="R31" s="5">
        <f t="shared" ca="1" si="2"/>
        <v>0.3</v>
      </c>
      <c r="S31" s="2" t="s">
        <v>47</v>
      </c>
    </row>
    <row r="32" spans="1:19" x14ac:dyDescent="0.3">
      <c r="A32" s="2" t="s">
        <v>24</v>
      </c>
      <c r="B32" s="2" t="s">
        <v>340</v>
      </c>
      <c r="C32" s="2" t="s">
        <v>341</v>
      </c>
      <c r="D32" s="2" t="s">
        <v>50</v>
      </c>
      <c r="E32" s="2" t="s">
        <v>149</v>
      </c>
      <c r="F32" s="2" t="s">
        <v>41</v>
      </c>
      <c r="G32" s="2" t="s">
        <v>93</v>
      </c>
      <c r="H32" s="2" t="s">
        <v>74</v>
      </c>
      <c r="I32" s="6" t="s">
        <v>53</v>
      </c>
      <c r="J32" s="2" t="s">
        <v>269</v>
      </c>
      <c r="K32" s="2" t="s">
        <v>342</v>
      </c>
      <c r="L32" s="2" t="s">
        <v>35</v>
      </c>
      <c r="M32" s="4">
        <v>30876</v>
      </c>
      <c r="N32" s="4">
        <v>45714</v>
      </c>
      <c r="O32" s="4">
        <v>45714</v>
      </c>
      <c r="P32" s="2">
        <f t="shared" ca="1" si="0"/>
        <v>42</v>
      </c>
      <c r="Q32" s="5">
        <f t="shared" ca="1" si="1"/>
        <v>1.4</v>
      </c>
      <c r="R32" s="5">
        <f t="shared" ca="1" si="2"/>
        <v>1.4</v>
      </c>
      <c r="S32" s="2" t="s">
        <v>36</v>
      </c>
    </row>
    <row r="33" spans="1:19" x14ac:dyDescent="0.3">
      <c r="A33" s="2" t="s">
        <v>24</v>
      </c>
      <c r="B33" s="2" t="s">
        <v>343</v>
      </c>
      <c r="C33" s="2" t="s">
        <v>344</v>
      </c>
      <c r="D33" s="2" t="s">
        <v>27</v>
      </c>
      <c r="E33" s="2" t="s">
        <v>149</v>
      </c>
      <c r="F33" s="2" t="s">
        <v>72</v>
      </c>
      <c r="G33" s="2" t="s">
        <v>30</v>
      </c>
      <c r="H33" s="2" t="s">
        <v>42</v>
      </c>
      <c r="I33" s="6" t="s">
        <v>62</v>
      </c>
      <c r="J33" s="2" t="s">
        <v>88</v>
      </c>
      <c r="K33" s="2" t="s">
        <v>345</v>
      </c>
      <c r="L33" s="2" t="s">
        <v>35</v>
      </c>
      <c r="M33" s="4">
        <v>27783</v>
      </c>
      <c r="N33" s="4">
        <v>43201</v>
      </c>
      <c r="O33" s="4">
        <v>44945</v>
      </c>
      <c r="P33" s="2">
        <f t="shared" ca="1" si="0"/>
        <v>50</v>
      </c>
      <c r="Q33" s="5">
        <f t="shared" ca="1" si="1"/>
        <v>8.3000000000000007</v>
      </c>
      <c r="R33" s="5">
        <f t="shared" ca="1" si="2"/>
        <v>3.5</v>
      </c>
      <c r="S33" s="2" t="s">
        <v>123</v>
      </c>
    </row>
    <row r="34" spans="1:19" x14ac:dyDescent="0.3">
      <c r="A34" s="2"/>
      <c r="B34" s="2" t="s">
        <v>346</v>
      </c>
      <c r="C34" s="2" t="s">
        <v>347</v>
      </c>
      <c r="D34" s="2" t="s">
        <v>27</v>
      </c>
      <c r="E34" s="2" t="s">
        <v>40</v>
      </c>
      <c r="F34" s="2"/>
      <c r="G34" s="2" t="s">
        <v>99</v>
      </c>
      <c r="H34" s="2" t="s">
        <v>52</v>
      </c>
      <c r="I34" s="3" t="s">
        <v>32</v>
      </c>
      <c r="J34" s="2" t="s">
        <v>102</v>
      </c>
      <c r="K34" s="2" t="s">
        <v>348</v>
      </c>
      <c r="L34" s="2" t="s">
        <v>35</v>
      </c>
      <c r="M34" s="4">
        <v>29815</v>
      </c>
      <c r="N34" s="4">
        <v>41978</v>
      </c>
      <c r="O34" s="4">
        <v>44635</v>
      </c>
      <c r="P34" s="2">
        <f t="shared" ref="P34:P51" ca="1" si="3">DATEDIF(M34,TODAY(),"Y")</f>
        <v>44</v>
      </c>
      <c r="Q34" s="5">
        <f t="shared" ref="Q34:Q51" ca="1" si="4">ROUND(DATEDIF(N34,TODAY(),"M")/12,1)</f>
        <v>11.6</v>
      </c>
      <c r="R34" s="5">
        <f t="shared" ref="R34:R51" ca="1" si="5">ROUND(DATEDIF(O34,TODAY(),"M")/12,1)</f>
        <v>4.3</v>
      </c>
      <c r="S34" s="2" t="s">
        <v>56</v>
      </c>
    </row>
    <row r="35" spans="1:19" x14ac:dyDescent="0.3">
      <c r="A35" s="2" t="s">
        <v>67</v>
      </c>
      <c r="B35" s="2" t="s">
        <v>349</v>
      </c>
      <c r="C35" s="2" t="s">
        <v>350</v>
      </c>
      <c r="D35" s="2" t="s">
        <v>27</v>
      </c>
      <c r="E35" s="2" t="s">
        <v>71</v>
      </c>
      <c r="F35" s="2" t="s">
        <v>29</v>
      </c>
      <c r="G35" s="2" t="s">
        <v>51</v>
      </c>
      <c r="H35" s="2" t="s">
        <v>179</v>
      </c>
      <c r="I35" s="3" t="s">
        <v>75</v>
      </c>
      <c r="J35" s="2" t="s">
        <v>194</v>
      </c>
      <c r="K35" s="2" t="s">
        <v>351</v>
      </c>
      <c r="L35" s="2" t="s">
        <v>35</v>
      </c>
      <c r="M35" s="4">
        <v>27183</v>
      </c>
      <c r="N35" s="4">
        <v>44355</v>
      </c>
      <c r="O35" s="4">
        <v>46063</v>
      </c>
      <c r="P35" s="2">
        <f t="shared" ca="1" si="3"/>
        <v>52</v>
      </c>
      <c r="Q35" s="5">
        <f t="shared" ca="1" si="4"/>
        <v>5.0999999999999996</v>
      </c>
      <c r="R35" s="5">
        <f t="shared" ca="1" si="5"/>
        <v>0.4</v>
      </c>
      <c r="S35" s="2" t="s">
        <v>56</v>
      </c>
    </row>
    <row r="36" spans="1:19" x14ac:dyDescent="0.3">
      <c r="A36" s="2" t="s">
        <v>57</v>
      </c>
      <c r="B36" s="2" t="s">
        <v>352</v>
      </c>
      <c r="C36" s="2" t="s">
        <v>353</v>
      </c>
      <c r="D36" s="2" t="s">
        <v>50</v>
      </c>
      <c r="E36" s="2" t="s">
        <v>98</v>
      </c>
      <c r="F36" s="2" t="s">
        <v>41</v>
      </c>
      <c r="G36" s="2" t="s">
        <v>93</v>
      </c>
      <c r="H36" s="2" t="s">
        <v>179</v>
      </c>
      <c r="I36" s="3" t="s">
        <v>43</v>
      </c>
      <c r="J36" s="2" t="s">
        <v>151</v>
      </c>
      <c r="K36" s="2" t="s">
        <v>354</v>
      </c>
      <c r="L36" s="2" t="s">
        <v>46</v>
      </c>
      <c r="M36" s="4">
        <v>30293</v>
      </c>
      <c r="N36" s="4">
        <v>43695</v>
      </c>
      <c r="O36" s="4">
        <v>45936</v>
      </c>
      <c r="P36" s="2">
        <f t="shared" ca="1" si="3"/>
        <v>43</v>
      </c>
      <c r="Q36" s="5">
        <f t="shared" ca="1" si="4"/>
        <v>6.9</v>
      </c>
      <c r="R36" s="5">
        <f t="shared" ca="1" si="5"/>
        <v>0.8</v>
      </c>
      <c r="S36" s="2" t="s">
        <v>47</v>
      </c>
    </row>
    <row r="37" spans="1:19" x14ac:dyDescent="0.3">
      <c r="A37" s="2" t="s">
        <v>105</v>
      </c>
      <c r="B37" s="2" t="s">
        <v>355</v>
      </c>
      <c r="C37" s="2" t="s">
        <v>204</v>
      </c>
      <c r="D37" s="2" t="s">
        <v>70</v>
      </c>
      <c r="E37" s="2" t="s">
        <v>60</v>
      </c>
      <c r="F37" s="2" t="s">
        <v>81</v>
      </c>
      <c r="G37" s="2" t="s">
        <v>73</v>
      </c>
      <c r="H37" s="2" t="s">
        <v>61</v>
      </c>
      <c r="I37" s="3" t="s">
        <v>75</v>
      </c>
      <c r="J37" s="2" t="s">
        <v>135</v>
      </c>
      <c r="K37" s="2" t="s">
        <v>356</v>
      </c>
      <c r="L37" s="2" t="s">
        <v>35</v>
      </c>
      <c r="M37" s="4">
        <v>31527</v>
      </c>
      <c r="N37" s="4">
        <v>40610</v>
      </c>
      <c r="O37" s="4">
        <v>42170</v>
      </c>
      <c r="P37" s="2">
        <f t="shared" ca="1" si="3"/>
        <v>40</v>
      </c>
      <c r="Q37" s="5">
        <f t="shared" ca="1" si="4"/>
        <v>15.3</v>
      </c>
      <c r="R37" s="5">
        <f t="shared" ca="1" si="5"/>
        <v>11.1</v>
      </c>
      <c r="S37" s="2" t="s">
        <v>123</v>
      </c>
    </row>
    <row r="38" spans="1:19" x14ac:dyDescent="0.3">
      <c r="A38" s="2" t="s">
        <v>105</v>
      </c>
      <c r="B38" s="2" t="s">
        <v>357</v>
      </c>
      <c r="C38" s="2" t="s">
        <v>358</v>
      </c>
      <c r="D38" s="2" t="s">
        <v>27</v>
      </c>
      <c r="E38" s="2" t="s">
        <v>80</v>
      </c>
      <c r="F38" s="2"/>
      <c r="G38" s="2" t="s">
        <v>73</v>
      </c>
      <c r="H38" s="2" t="s">
        <v>179</v>
      </c>
      <c r="I38" s="6" t="s">
        <v>53</v>
      </c>
      <c r="J38" s="2" t="s">
        <v>76</v>
      </c>
      <c r="K38" s="2" t="s">
        <v>359</v>
      </c>
      <c r="L38" s="2" t="s">
        <v>35</v>
      </c>
      <c r="M38" s="4">
        <v>29270</v>
      </c>
      <c r="N38" s="4">
        <v>45690</v>
      </c>
      <c r="O38" s="4">
        <v>46209</v>
      </c>
      <c r="P38" s="2">
        <f t="shared" ca="1" si="3"/>
        <v>46</v>
      </c>
      <c r="Q38" s="5">
        <f t="shared" ca="1" si="4"/>
        <v>1.4</v>
      </c>
      <c r="R38" s="5">
        <f t="shared" ca="1" si="5"/>
        <v>0</v>
      </c>
      <c r="S38" s="2" t="s">
        <v>36</v>
      </c>
    </row>
    <row r="39" spans="1:19" x14ac:dyDescent="0.3">
      <c r="A39" s="2" t="s">
        <v>105</v>
      </c>
      <c r="B39" s="2" t="s">
        <v>360</v>
      </c>
      <c r="C39" s="2" t="s">
        <v>361</v>
      </c>
      <c r="D39" s="2" t="s">
        <v>50</v>
      </c>
      <c r="E39" s="2" t="s">
        <v>71</v>
      </c>
      <c r="F39" s="2" t="s">
        <v>150</v>
      </c>
      <c r="G39" s="2" t="s">
        <v>73</v>
      </c>
      <c r="H39" s="2" t="s">
        <v>179</v>
      </c>
      <c r="I39" s="3" t="s">
        <v>43</v>
      </c>
      <c r="J39" s="2" t="s">
        <v>205</v>
      </c>
      <c r="K39" s="2" t="s">
        <v>362</v>
      </c>
      <c r="L39" s="2" t="s">
        <v>35</v>
      </c>
      <c r="M39" s="4">
        <v>32382</v>
      </c>
      <c r="N39" s="4">
        <v>43947</v>
      </c>
      <c r="O39" s="4">
        <v>44717</v>
      </c>
      <c r="P39" s="2">
        <f t="shared" ca="1" si="3"/>
        <v>37</v>
      </c>
      <c r="Q39" s="5">
        <f t="shared" ca="1" si="4"/>
        <v>6.3</v>
      </c>
      <c r="R39" s="5">
        <f t="shared" ca="1" si="5"/>
        <v>4.0999999999999996</v>
      </c>
      <c r="S39" s="2" t="s">
        <v>56</v>
      </c>
    </row>
    <row r="40" spans="1:19" x14ac:dyDescent="0.3">
      <c r="A40" s="2" t="s">
        <v>105</v>
      </c>
      <c r="B40" s="2" t="s">
        <v>363</v>
      </c>
      <c r="C40" s="2" t="s">
        <v>364</v>
      </c>
      <c r="D40" s="2" t="s">
        <v>50</v>
      </c>
      <c r="E40" s="2" t="s">
        <v>117</v>
      </c>
      <c r="F40" s="2" t="s">
        <v>29</v>
      </c>
      <c r="G40" s="2" t="s">
        <v>73</v>
      </c>
      <c r="H40" s="2" t="s">
        <v>112</v>
      </c>
      <c r="I40" s="3" t="s">
        <v>75</v>
      </c>
      <c r="J40" s="2" t="s">
        <v>365</v>
      </c>
      <c r="K40" s="2" t="s">
        <v>366</v>
      </c>
      <c r="L40" s="2" t="s">
        <v>65</v>
      </c>
      <c r="M40" s="4">
        <v>31865</v>
      </c>
      <c r="N40" s="4">
        <v>43318</v>
      </c>
      <c r="O40" s="4">
        <v>45200</v>
      </c>
      <c r="P40" s="2">
        <f t="shared" ca="1" si="3"/>
        <v>39</v>
      </c>
      <c r="Q40" s="5">
        <f t="shared" ca="1" si="4"/>
        <v>7.9</v>
      </c>
      <c r="R40" s="5">
        <f t="shared" ca="1" si="5"/>
        <v>2.8</v>
      </c>
      <c r="S40" s="2" t="s">
        <v>66</v>
      </c>
    </row>
    <row r="41" spans="1:19" x14ac:dyDescent="0.3">
      <c r="A41" s="2" t="s">
        <v>24</v>
      </c>
      <c r="B41" s="2" t="s">
        <v>367</v>
      </c>
      <c r="C41" s="2" t="s">
        <v>368</v>
      </c>
      <c r="D41" s="2" t="s">
        <v>70</v>
      </c>
      <c r="E41" s="2" t="s">
        <v>28</v>
      </c>
      <c r="F41" s="2" t="s">
        <v>29</v>
      </c>
      <c r="G41" s="2" t="s">
        <v>93</v>
      </c>
      <c r="H41" s="2" t="s">
        <v>86</v>
      </c>
      <c r="I41" s="6" t="s">
        <v>222</v>
      </c>
      <c r="J41" s="2" t="s">
        <v>151</v>
      </c>
      <c r="K41" s="2" t="s">
        <v>369</v>
      </c>
      <c r="L41" s="2" t="s">
        <v>35</v>
      </c>
      <c r="M41" s="4">
        <v>28509</v>
      </c>
      <c r="N41" s="4">
        <v>43776</v>
      </c>
      <c r="O41" s="4">
        <v>44887</v>
      </c>
      <c r="P41" s="2">
        <f t="shared" ca="1" si="3"/>
        <v>48</v>
      </c>
      <c r="Q41" s="5">
        <f t="shared" ca="1" si="4"/>
        <v>6.7</v>
      </c>
      <c r="R41" s="5">
        <f t="shared" ca="1" si="5"/>
        <v>3.7</v>
      </c>
      <c r="S41" s="2" t="s">
        <v>66</v>
      </c>
    </row>
    <row r="42" spans="1:19" x14ac:dyDescent="0.3">
      <c r="A42" s="2" t="s">
        <v>24</v>
      </c>
      <c r="B42" s="2" t="s">
        <v>370</v>
      </c>
      <c r="C42" s="2" t="s">
        <v>371</v>
      </c>
      <c r="D42" s="2" t="s">
        <v>50</v>
      </c>
      <c r="E42" s="2" t="s">
        <v>60</v>
      </c>
      <c r="F42" s="2" t="s">
        <v>126</v>
      </c>
      <c r="G42" s="2" t="s">
        <v>73</v>
      </c>
      <c r="H42" s="2" t="s">
        <v>86</v>
      </c>
      <c r="I42" s="3" t="s">
        <v>113</v>
      </c>
      <c r="J42" s="2" t="s">
        <v>76</v>
      </c>
      <c r="K42" s="2" t="s">
        <v>372</v>
      </c>
      <c r="L42" s="2" t="s">
        <v>46</v>
      </c>
      <c r="M42" s="4">
        <v>28805</v>
      </c>
      <c r="N42" s="4">
        <v>42459</v>
      </c>
      <c r="O42" s="4">
        <v>43526</v>
      </c>
      <c r="P42" s="2">
        <f t="shared" ca="1" si="3"/>
        <v>47</v>
      </c>
      <c r="Q42" s="5">
        <f t="shared" ca="1" si="4"/>
        <v>10.3</v>
      </c>
      <c r="R42" s="5">
        <f t="shared" ca="1" si="5"/>
        <v>7.3</v>
      </c>
      <c r="S42" s="2" t="s">
        <v>123</v>
      </c>
    </row>
    <row r="43" spans="1:19" x14ac:dyDescent="0.3">
      <c r="A43" s="2" t="s">
        <v>24</v>
      </c>
      <c r="B43" s="2" t="s">
        <v>373</v>
      </c>
      <c r="C43" s="2" t="s">
        <v>374</v>
      </c>
      <c r="D43" s="2" t="s">
        <v>50</v>
      </c>
      <c r="E43" s="2" t="s">
        <v>108</v>
      </c>
      <c r="F43" s="2" t="s">
        <v>72</v>
      </c>
      <c r="G43" s="2" t="s">
        <v>30</v>
      </c>
      <c r="H43" s="2" t="s">
        <v>179</v>
      </c>
      <c r="I43" s="3" t="s">
        <v>32</v>
      </c>
      <c r="J43" s="2" t="s">
        <v>44</v>
      </c>
      <c r="K43" s="2" t="s">
        <v>375</v>
      </c>
      <c r="L43" s="2" t="s">
        <v>65</v>
      </c>
      <c r="M43" s="4">
        <v>33719</v>
      </c>
      <c r="N43" s="4">
        <v>41499</v>
      </c>
      <c r="O43" s="4">
        <v>42156</v>
      </c>
      <c r="P43" s="2">
        <f t="shared" ca="1" si="3"/>
        <v>34</v>
      </c>
      <c r="Q43" s="5">
        <f t="shared" ca="1" si="4"/>
        <v>12.9</v>
      </c>
      <c r="R43" s="5">
        <f t="shared" ca="1" si="5"/>
        <v>11.1</v>
      </c>
      <c r="S43" s="2" t="s">
        <v>36</v>
      </c>
    </row>
    <row r="44" spans="1:19" x14ac:dyDescent="0.3">
      <c r="A44" s="2" t="s">
        <v>67</v>
      </c>
      <c r="B44" s="2" t="s">
        <v>376</v>
      </c>
      <c r="C44" s="2" t="s">
        <v>377</v>
      </c>
      <c r="D44" s="2" t="s">
        <v>27</v>
      </c>
      <c r="E44" s="2" t="s">
        <v>131</v>
      </c>
      <c r="F44" s="2" t="s">
        <v>41</v>
      </c>
      <c r="G44" s="2" t="s">
        <v>99</v>
      </c>
      <c r="H44" s="2" t="s">
        <v>100</v>
      </c>
      <c r="I44" s="6" t="s">
        <v>82</v>
      </c>
      <c r="J44" s="2" t="s">
        <v>127</v>
      </c>
      <c r="K44" s="2" t="s">
        <v>378</v>
      </c>
      <c r="L44" s="2" t="s">
        <v>46</v>
      </c>
      <c r="M44" s="4">
        <v>33896</v>
      </c>
      <c r="N44" s="4">
        <v>45355</v>
      </c>
      <c r="O44" s="4">
        <v>45355</v>
      </c>
      <c r="P44" s="2">
        <f t="shared" ca="1" si="3"/>
        <v>33</v>
      </c>
      <c r="Q44" s="5">
        <f t="shared" ca="1" si="4"/>
        <v>2.2999999999999998</v>
      </c>
      <c r="R44" s="5">
        <f t="shared" ca="1" si="5"/>
        <v>2.2999999999999998</v>
      </c>
      <c r="S44" s="2" t="s">
        <v>36</v>
      </c>
    </row>
    <row r="45" spans="1:19" x14ac:dyDescent="0.3">
      <c r="A45" s="2" t="s">
        <v>90</v>
      </c>
      <c r="B45" s="2" t="s">
        <v>379</v>
      </c>
      <c r="C45" s="2" t="s">
        <v>204</v>
      </c>
      <c r="D45" s="2" t="s">
        <v>27</v>
      </c>
      <c r="E45" s="2" t="s">
        <v>234</v>
      </c>
      <c r="F45" s="2" t="s">
        <v>29</v>
      </c>
      <c r="G45" s="2" t="s">
        <v>99</v>
      </c>
      <c r="H45" s="2" t="s">
        <v>86</v>
      </c>
      <c r="I45" s="3" t="s">
        <v>32</v>
      </c>
      <c r="J45" s="2" t="s">
        <v>171</v>
      </c>
      <c r="K45" s="2" t="s">
        <v>380</v>
      </c>
      <c r="L45" s="2" t="s">
        <v>46</v>
      </c>
      <c r="M45" s="4">
        <v>30589</v>
      </c>
      <c r="N45" s="4">
        <v>44176</v>
      </c>
      <c r="O45" s="4">
        <v>45569</v>
      </c>
      <c r="P45" s="2">
        <f t="shared" ca="1" si="3"/>
        <v>42</v>
      </c>
      <c r="Q45" s="5">
        <f t="shared" ca="1" si="4"/>
        <v>5.6</v>
      </c>
      <c r="R45" s="5">
        <f t="shared" ca="1" si="5"/>
        <v>1.8</v>
      </c>
      <c r="S45" s="2" t="s">
        <v>66</v>
      </c>
    </row>
    <row r="46" spans="1:19" x14ac:dyDescent="0.3">
      <c r="A46" s="2"/>
      <c r="B46" s="2" t="s">
        <v>381</v>
      </c>
      <c r="C46" s="2" t="s">
        <v>382</v>
      </c>
      <c r="D46" s="2" t="s">
        <v>27</v>
      </c>
      <c r="E46" s="2" t="s">
        <v>80</v>
      </c>
      <c r="F46" s="2" t="s">
        <v>81</v>
      </c>
      <c r="G46" s="2" t="s">
        <v>30</v>
      </c>
      <c r="H46" s="2" t="s">
        <v>112</v>
      </c>
      <c r="I46" s="3" t="s">
        <v>43</v>
      </c>
      <c r="J46" s="2" t="s">
        <v>33</v>
      </c>
      <c r="K46" s="2" t="s">
        <v>383</v>
      </c>
      <c r="L46" s="2" t="s">
        <v>65</v>
      </c>
      <c r="M46" s="4">
        <v>28531</v>
      </c>
      <c r="N46" s="4">
        <v>45973</v>
      </c>
      <c r="O46" s="4">
        <v>45973</v>
      </c>
      <c r="P46" s="2">
        <f t="shared" ca="1" si="3"/>
        <v>48</v>
      </c>
      <c r="Q46" s="5">
        <f t="shared" ca="1" si="4"/>
        <v>0.7</v>
      </c>
      <c r="R46" s="5">
        <f t="shared" ca="1" si="5"/>
        <v>0.7</v>
      </c>
      <c r="S46" s="2" t="s">
        <v>36</v>
      </c>
    </row>
    <row r="47" spans="1:19" x14ac:dyDescent="0.3">
      <c r="A47" s="2" t="s">
        <v>57</v>
      </c>
      <c r="B47" s="2" t="s">
        <v>384</v>
      </c>
      <c r="C47" s="2" t="s">
        <v>237</v>
      </c>
      <c r="D47" s="2" t="s">
        <v>70</v>
      </c>
      <c r="E47" s="2" t="s">
        <v>178</v>
      </c>
      <c r="F47" s="2" t="s">
        <v>150</v>
      </c>
      <c r="G47" s="2" t="s">
        <v>51</v>
      </c>
      <c r="H47" s="2" t="s">
        <v>31</v>
      </c>
      <c r="I47" s="3" t="s">
        <v>113</v>
      </c>
      <c r="J47" s="2" t="s">
        <v>208</v>
      </c>
      <c r="K47" s="2" t="s">
        <v>385</v>
      </c>
      <c r="L47" s="2" t="s">
        <v>35</v>
      </c>
      <c r="M47" s="4">
        <v>28154</v>
      </c>
      <c r="N47" s="4">
        <v>45084</v>
      </c>
      <c r="O47" s="4">
        <v>46108</v>
      </c>
      <c r="P47" s="2">
        <f t="shared" ca="1" si="3"/>
        <v>49</v>
      </c>
      <c r="Q47" s="5">
        <f t="shared" ca="1" si="4"/>
        <v>3.1</v>
      </c>
      <c r="R47" s="5">
        <f t="shared" ca="1" si="5"/>
        <v>0.3</v>
      </c>
      <c r="S47" s="2" t="s">
        <v>123</v>
      </c>
    </row>
    <row r="48" spans="1:19" x14ac:dyDescent="0.3">
      <c r="A48" s="2" t="s">
        <v>105</v>
      </c>
      <c r="B48" s="2" t="s">
        <v>386</v>
      </c>
      <c r="C48" s="2" t="s">
        <v>387</v>
      </c>
      <c r="D48" s="2" t="s">
        <v>27</v>
      </c>
      <c r="E48" s="2" t="s">
        <v>108</v>
      </c>
      <c r="F48" s="2" t="s">
        <v>41</v>
      </c>
      <c r="G48" s="2" t="s">
        <v>30</v>
      </c>
      <c r="H48" s="2" t="s">
        <v>100</v>
      </c>
      <c r="I48" s="6" t="s">
        <v>222</v>
      </c>
      <c r="J48" s="2" t="s">
        <v>63</v>
      </c>
      <c r="K48" s="2" t="s">
        <v>388</v>
      </c>
      <c r="L48" s="2" t="s">
        <v>35</v>
      </c>
      <c r="M48" s="4">
        <v>31136</v>
      </c>
      <c r="N48" s="4">
        <v>41973</v>
      </c>
      <c r="O48" s="4">
        <v>44905</v>
      </c>
      <c r="P48" s="2">
        <f t="shared" ca="1" si="3"/>
        <v>41</v>
      </c>
      <c r="Q48" s="5">
        <f t="shared" ca="1" si="4"/>
        <v>11.6</v>
      </c>
      <c r="R48" s="5">
        <f t="shared" ca="1" si="5"/>
        <v>3.6</v>
      </c>
      <c r="S48" s="2" t="s">
        <v>123</v>
      </c>
    </row>
    <row r="49" spans="1:19" x14ac:dyDescent="0.3">
      <c r="A49" s="2" t="s">
        <v>105</v>
      </c>
      <c r="B49" s="2" t="s">
        <v>389</v>
      </c>
      <c r="C49" s="2" t="s">
        <v>204</v>
      </c>
      <c r="D49" s="2" t="s">
        <v>27</v>
      </c>
      <c r="E49" s="2" t="s">
        <v>117</v>
      </c>
      <c r="F49" s="2"/>
      <c r="G49" s="2" t="s">
        <v>73</v>
      </c>
      <c r="H49" s="2" t="s">
        <v>52</v>
      </c>
      <c r="I49" s="6" t="s">
        <v>87</v>
      </c>
      <c r="J49" s="2" t="s">
        <v>76</v>
      </c>
      <c r="K49" s="2" t="s">
        <v>390</v>
      </c>
      <c r="L49" s="2" t="s">
        <v>46</v>
      </c>
      <c r="M49" s="4">
        <v>33927</v>
      </c>
      <c r="N49" s="4">
        <v>44853</v>
      </c>
      <c r="O49" s="4">
        <v>45215</v>
      </c>
      <c r="P49" s="2">
        <f t="shared" ca="1" si="3"/>
        <v>33</v>
      </c>
      <c r="Q49" s="5">
        <f t="shared" ca="1" si="4"/>
        <v>3.8</v>
      </c>
      <c r="R49" s="5">
        <f t="shared" ca="1" si="5"/>
        <v>2.8</v>
      </c>
      <c r="S49" s="2" t="s">
        <v>56</v>
      </c>
    </row>
    <row r="50" spans="1:19" x14ac:dyDescent="0.3">
      <c r="A50" s="2" t="s">
        <v>37</v>
      </c>
      <c r="B50" s="2" t="s">
        <v>391</v>
      </c>
      <c r="C50" s="2" t="s">
        <v>392</v>
      </c>
      <c r="D50" s="2" t="s">
        <v>50</v>
      </c>
      <c r="E50" s="2" t="s">
        <v>108</v>
      </c>
      <c r="F50" s="2" t="s">
        <v>162</v>
      </c>
      <c r="G50" s="2" t="s">
        <v>93</v>
      </c>
      <c r="H50" s="2" t="s">
        <v>100</v>
      </c>
      <c r="I50" s="6" t="s">
        <v>82</v>
      </c>
      <c r="J50" s="2" t="s">
        <v>151</v>
      </c>
      <c r="K50" s="2" t="s">
        <v>393</v>
      </c>
      <c r="L50" s="2" t="s">
        <v>35</v>
      </c>
      <c r="M50" s="4">
        <v>31971</v>
      </c>
      <c r="N50" s="4">
        <v>44296</v>
      </c>
      <c r="O50" s="4">
        <v>45644</v>
      </c>
      <c r="P50" s="2">
        <f t="shared" ca="1" si="3"/>
        <v>39</v>
      </c>
      <c r="Q50" s="5">
        <f t="shared" ca="1" si="4"/>
        <v>5.3</v>
      </c>
      <c r="R50" s="5">
        <f t="shared" ca="1" si="5"/>
        <v>1.6</v>
      </c>
      <c r="S50" s="2" t="s">
        <v>66</v>
      </c>
    </row>
    <row r="51" spans="1:19" x14ac:dyDescent="0.3">
      <c r="A51" s="2" t="s">
        <v>37</v>
      </c>
      <c r="B51" s="2" t="s">
        <v>394</v>
      </c>
      <c r="C51" s="2" t="s">
        <v>395</v>
      </c>
      <c r="D51" s="2" t="s">
        <v>50</v>
      </c>
      <c r="E51" s="2" t="s">
        <v>71</v>
      </c>
      <c r="F51" s="2" t="s">
        <v>72</v>
      </c>
      <c r="G51" s="2" t="s">
        <v>93</v>
      </c>
      <c r="H51" s="2" t="s">
        <v>74</v>
      </c>
      <c r="I51" s="6" t="s">
        <v>82</v>
      </c>
      <c r="J51" s="2" t="s">
        <v>163</v>
      </c>
      <c r="K51" s="2" t="s">
        <v>396</v>
      </c>
      <c r="L51" s="2" t="s">
        <v>46</v>
      </c>
      <c r="M51" s="4">
        <v>32307</v>
      </c>
      <c r="N51" s="4">
        <v>45527</v>
      </c>
      <c r="O51" s="4">
        <v>45863</v>
      </c>
      <c r="P51" s="2">
        <f t="shared" ca="1" si="3"/>
        <v>38</v>
      </c>
      <c r="Q51" s="5">
        <f t="shared" ca="1" si="4"/>
        <v>1.9</v>
      </c>
      <c r="R51" s="5">
        <f t="shared" ca="1" si="5"/>
        <v>1</v>
      </c>
      <c r="S51" s="2" t="s">
        <v>56</v>
      </c>
    </row>
  </sheetData>
  <phoneticPr fontId="6" type="noConversion"/>
  <dataValidations count="7">
    <dataValidation type="list" errorTitle="Invalid value" error="Please select a value from the defined list." sqref="A2:A51" xr:uid="{00000000-0002-0000-0100-000000000000}">
      <formula1>BranchList</formula1>
    </dataValidation>
    <dataValidation type="list" errorTitle="Invalid value" error="Please select a value from the defined list." sqref="D2:D51" xr:uid="{00000000-0002-0000-0100-000001000000}">
      <formula1>GenderList</formula1>
    </dataValidation>
    <dataValidation type="list" errorTitle="Invalid value" error="Please select a value from the defined list." sqref="E2:E51" xr:uid="{00000000-0002-0000-0100-000002000000}">
      <formula1>RoleList</formula1>
    </dataValidation>
    <dataValidation type="list" errorTitle="Invalid value" error="Please select a value from the defined list." sqref="F2:F51" xr:uid="{00000000-0002-0000-0100-000003000000}">
      <formula1>GradeList</formula1>
    </dataValidation>
    <dataValidation type="list" errorTitle="Invalid value" error="Please select a value from the defined list." sqref="G2:G51" xr:uid="{00000000-0002-0000-0100-000004000000}">
      <formula1>ClusterList</formula1>
    </dataValidation>
    <dataValidation type="list" errorTitle="Invalid value" error="Please select a value from the defined list." sqref="L2:L51" xr:uid="{00000000-0002-0000-0100-000005000000}">
      <formula1>CCMList</formula1>
    </dataValidation>
    <dataValidation type="list" errorTitle="Invalid value" error="Please select a value from the defined list." sqref="S2:S51" xr:uid="{00000000-0002-0000-0100-000006000000}">
      <formula1>SourceList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1037-7D76-49C4-A260-4C7704F4E6DD}">
  <dimension ref="A1:I8"/>
  <sheetViews>
    <sheetView workbookViewId="0">
      <selection activeCell="I14" sqref="I14"/>
    </sheetView>
  </sheetViews>
  <sheetFormatPr defaultRowHeight="14.4" x14ac:dyDescent="0.3"/>
  <cols>
    <col min="1" max="1" width="13.88671875" customWidth="1"/>
    <col min="2" max="2" width="13.77734375" customWidth="1"/>
  </cols>
  <sheetData>
    <row r="1" spans="1:9" x14ac:dyDescent="0.3">
      <c r="A1" s="8" t="s">
        <v>5</v>
      </c>
      <c r="B1" s="8" t="s">
        <v>29</v>
      </c>
      <c r="C1" s="8" t="s">
        <v>41</v>
      </c>
      <c r="D1" s="8" t="s">
        <v>72</v>
      </c>
      <c r="E1" s="8" t="s">
        <v>162</v>
      </c>
      <c r="F1" s="8" t="s">
        <v>126</v>
      </c>
      <c r="G1" s="8" t="s">
        <v>81</v>
      </c>
      <c r="H1" s="8" t="s">
        <v>150</v>
      </c>
      <c r="I1" s="8" t="s">
        <v>397</v>
      </c>
    </row>
    <row r="2" spans="1:9" x14ac:dyDescent="0.3">
      <c r="A2" s="7" t="s">
        <v>37</v>
      </c>
      <c r="B2" s="7">
        <v>8</v>
      </c>
      <c r="C2" s="7">
        <v>6</v>
      </c>
      <c r="D2" s="7">
        <v>5</v>
      </c>
      <c r="E2" s="7">
        <v>4</v>
      </c>
      <c r="F2" s="7">
        <v>3</v>
      </c>
      <c r="G2" s="7">
        <v>2</v>
      </c>
      <c r="H2" s="7">
        <v>2</v>
      </c>
      <c r="I2" s="8">
        <f>SUM(B2:H2)</f>
        <v>30</v>
      </c>
    </row>
    <row r="3" spans="1:9" x14ac:dyDescent="0.3">
      <c r="A3" s="7" t="s">
        <v>67</v>
      </c>
      <c r="B3" s="7">
        <v>7</v>
      </c>
      <c r="C3" s="7">
        <v>6</v>
      </c>
      <c r="D3" s="7">
        <v>5</v>
      </c>
      <c r="E3" s="7">
        <v>4</v>
      </c>
      <c r="F3" s="7">
        <v>4</v>
      </c>
      <c r="G3" s="7">
        <v>2</v>
      </c>
      <c r="H3" s="7">
        <v>2</v>
      </c>
      <c r="I3" s="8">
        <f t="shared" ref="I3:I8" si="0">SUM(B3:H3)</f>
        <v>30</v>
      </c>
    </row>
    <row r="4" spans="1:9" x14ac:dyDescent="0.3">
      <c r="A4" s="7" t="s">
        <v>57</v>
      </c>
      <c r="B4" s="7">
        <v>8</v>
      </c>
      <c r="C4" s="7">
        <v>7</v>
      </c>
      <c r="D4" s="7">
        <v>5</v>
      </c>
      <c r="E4" s="7">
        <v>5</v>
      </c>
      <c r="F4" s="7">
        <v>4</v>
      </c>
      <c r="G4" s="7">
        <v>3</v>
      </c>
      <c r="H4" s="7">
        <v>3</v>
      </c>
      <c r="I4" s="8">
        <f t="shared" si="0"/>
        <v>35</v>
      </c>
    </row>
    <row r="5" spans="1:9" x14ac:dyDescent="0.3">
      <c r="A5" s="7" t="s">
        <v>90</v>
      </c>
      <c r="B5" s="7">
        <v>9</v>
      </c>
      <c r="C5" s="7">
        <v>8</v>
      </c>
      <c r="D5" s="7">
        <v>6</v>
      </c>
      <c r="E5" s="7">
        <v>5</v>
      </c>
      <c r="F5" s="7">
        <v>4</v>
      </c>
      <c r="G5" s="7">
        <v>4</v>
      </c>
      <c r="H5" s="7">
        <v>4</v>
      </c>
      <c r="I5" s="8">
        <f t="shared" si="0"/>
        <v>40</v>
      </c>
    </row>
    <row r="6" spans="1:9" x14ac:dyDescent="0.3">
      <c r="A6" s="7" t="s">
        <v>105</v>
      </c>
      <c r="B6" s="7">
        <v>10</v>
      </c>
      <c r="C6" s="7">
        <v>8</v>
      </c>
      <c r="D6" s="7">
        <v>7</v>
      </c>
      <c r="E6" s="7">
        <v>6</v>
      </c>
      <c r="F6" s="7">
        <v>5</v>
      </c>
      <c r="G6" s="7">
        <v>4</v>
      </c>
      <c r="H6" s="7">
        <v>5</v>
      </c>
      <c r="I6" s="8">
        <f t="shared" si="0"/>
        <v>45</v>
      </c>
    </row>
    <row r="7" spans="1:9" x14ac:dyDescent="0.3">
      <c r="A7" s="7" t="s">
        <v>24</v>
      </c>
      <c r="B7" s="7">
        <v>12</v>
      </c>
      <c r="C7" s="7">
        <v>11</v>
      </c>
      <c r="D7" s="7">
        <v>10</v>
      </c>
      <c r="E7" s="7">
        <v>9</v>
      </c>
      <c r="F7" s="7">
        <v>8</v>
      </c>
      <c r="G7" s="7">
        <v>7</v>
      </c>
      <c r="H7" s="7">
        <v>8</v>
      </c>
      <c r="I7" s="8">
        <f t="shared" si="0"/>
        <v>65</v>
      </c>
    </row>
    <row r="8" spans="1:9" x14ac:dyDescent="0.3">
      <c r="A8" s="8" t="s">
        <v>397</v>
      </c>
      <c r="B8" s="8">
        <v>54</v>
      </c>
      <c r="C8" s="8">
        <v>46</v>
      </c>
      <c r="D8" s="8">
        <v>38</v>
      </c>
      <c r="E8" s="8">
        <v>33</v>
      </c>
      <c r="F8" s="8">
        <v>28</v>
      </c>
      <c r="G8" s="8">
        <v>22</v>
      </c>
      <c r="H8" s="8">
        <v>24</v>
      </c>
      <c r="I8" s="8">
        <f t="shared" si="0"/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4.4" x14ac:dyDescent="0.3"/>
  <sheetData>
    <row r="1" spans="1:7" x14ac:dyDescent="0.3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</row>
    <row r="2" spans="1:7" x14ac:dyDescent="0.3">
      <c r="A2" t="s">
        <v>37</v>
      </c>
      <c r="B2" t="s">
        <v>29</v>
      </c>
      <c r="C2" t="s">
        <v>30</v>
      </c>
      <c r="D2" t="s">
        <v>27</v>
      </c>
      <c r="E2" t="s">
        <v>65</v>
      </c>
      <c r="F2" t="s">
        <v>36</v>
      </c>
      <c r="G2" t="s">
        <v>108</v>
      </c>
    </row>
    <row r="3" spans="1:7" x14ac:dyDescent="0.3">
      <c r="A3" t="s">
        <v>67</v>
      </c>
      <c r="B3" t="s">
        <v>41</v>
      </c>
      <c r="C3" t="s">
        <v>51</v>
      </c>
      <c r="D3" t="s">
        <v>50</v>
      </c>
      <c r="E3" t="s">
        <v>35</v>
      </c>
      <c r="F3" t="s">
        <v>123</v>
      </c>
      <c r="G3" t="s">
        <v>98</v>
      </c>
    </row>
    <row r="4" spans="1:7" x14ac:dyDescent="0.3">
      <c r="A4" t="s">
        <v>57</v>
      </c>
      <c r="B4" t="s">
        <v>72</v>
      </c>
      <c r="C4" t="s">
        <v>73</v>
      </c>
      <c r="D4" t="s">
        <v>70</v>
      </c>
      <c r="E4" t="s">
        <v>46</v>
      </c>
      <c r="F4" t="s">
        <v>47</v>
      </c>
      <c r="G4" t="s">
        <v>71</v>
      </c>
    </row>
    <row r="5" spans="1:7" x14ac:dyDescent="0.3">
      <c r="A5" t="s">
        <v>90</v>
      </c>
      <c r="B5" t="s">
        <v>162</v>
      </c>
      <c r="C5" t="s">
        <v>93</v>
      </c>
      <c r="F5" t="s">
        <v>104</v>
      </c>
      <c r="G5" t="s">
        <v>178</v>
      </c>
    </row>
    <row r="6" spans="1:7" x14ac:dyDescent="0.3">
      <c r="A6" t="s">
        <v>105</v>
      </c>
      <c r="B6" t="s">
        <v>126</v>
      </c>
      <c r="C6" t="s">
        <v>99</v>
      </c>
      <c r="F6" t="s">
        <v>56</v>
      </c>
      <c r="G6" t="s">
        <v>149</v>
      </c>
    </row>
    <row r="7" spans="1:7" x14ac:dyDescent="0.3">
      <c r="A7" t="s">
        <v>24</v>
      </c>
      <c r="B7" t="s">
        <v>81</v>
      </c>
      <c r="F7" t="s">
        <v>66</v>
      </c>
      <c r="G7" t="s">
        <v>234</v>
      </c>
    </row>
    <row r="8" spans="1:7" x14ac:dyDescent="0.3">
      <c r="B8" t="s">
        <v>150</v>
      </c>
      <c r="G8" t="s">
        <v>40</v>
      </c>
    </row>
    <row r="9" spans="1:7" x14ac:dyDescent="0.3">
      <c r="G9" t="s">
        <v>117</v>
      </c>
    </row>
    <row r="10" spans="1:7" x14ac:dyDescent="0.3">
      <c r="G10" t="s">
        <v>28</v>
      </c>
    </row>
    <row r="11" spans="1:7" x14ac:dyDescent="0.3">
      <c r="G11" t="s">
        <v>60</v>
      </c>
    </row>
    <row r="12" spans="1:7" x14ac:dyDescent="0.3">
      <c r="G12" t="s">
        <v>80</v>
      </c>
    </row>
    <row r="13" spans="1:7" x14ac:dyDescent="0.3">
      <c r="G13" t="s">
        <v>131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Guidelines</vt:lpstr>
      <vt:lpstr>Employee Data 1</vt:lpstr>
      <vt:lpstr>Employee Data 2</vt:lpstr>
      <vt:lpstr>Seatfill Target Headcount</vt:lpstr>
      <vt:lpstr>_Lists</vt:lpstr>
      <vt:lpstr>BranchList</vt:lpstr>
      <vt:lpstr>CCMList</vt:lpstr>
      <vt:lpstr>ClusterList</vt:lpstr>
      <vt:lpstr>GenderList</vt:lpstr>
      <vt:lpstr>GradeList</vt:lpstr>
      <vt:lpstr>RoleList</vt:lpstr>
      <vt:lpstr>SourceList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Rashid, Haroon</dc:creator>
  <cp:keywords/>
  <dc:description/>
  <cp:lastModifiedBy>Jaskirat Singh</cp:lastModifiedBy>
  <cp:revision/>
  <dcterms:created xsi:type="dcterms:W3CDTF">2026-07-21T17:45:46Z</dcterms:created>
  <dcterms:modified xsi:type="dcterms:W3CDTF">2026-07-29T06:51:25Z</dcterms:modified>
  <cp:category/>
  <cp:contentStatus/>
</cp:coreProperties>
</file>